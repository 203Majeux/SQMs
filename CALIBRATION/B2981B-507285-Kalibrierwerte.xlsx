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T:\5116-Optik\30_Labor_QS\60_Messmittel\507285_Picoammeter_Keysight-B2981B\"/>
    </mc:Choice>
  </mc:AlternateContent>
  <xr:revisionPtr revIDLastSave="0" documentId="13_ncr:1_{85355BF9-3B51-401C-B4E8-976EBBEC7164}" xr6:coauthVersionLast="47" xr6:coauthVersionMax="47" xr10:uidLastSave="{00000000-0000-0000-0000-000000000000}"/>
  <bookViews>
    <workbookView xWindow="2295" yWindow="1740" windowWidth="23040" windowHeight="1443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I10" i="1" s="1"/>
  <c r="F16" i="1"/>
  <c r="J12" i="1" s="1"/>
  <c r="F34" i="1"/>
  <c r="J18" i="1" s="1"/>
  <c r="F31" i="1"/>
  <c r="J17" i="1" s="1"/>
  <c r="F28" i="1"/>
  <c r="J16" i="1" s="1"/>
  <c r="F25" i="1"/>
  <c r="J15" i="1" s="1"/>
  <c r="F22" i="1"/>
  <c r="J14" i="1" s="1"/>
  <c r="F19" i="1"/>
  <c r="J13" i="1" s="1"/>
  <c r="F13" i="1"/>
  <c r="J11" i="1" s="1"/>
  <c r="F10" i="1"/>
  <c r="J10" i="1" s="1"/>
  <c r="E34" i="1"/>
  <c r="I18" i="1" s="1"/>
  <c r="E31" i="1"/>
  <c r="I17" i="1" s="1"/>
  <c r="E28" i="1"/>
  <c r="I16" i="1" s="1"/>
  <c r="E25" i="1"/>
  <c r="I15" i="1" s="1"/>
  <c r="E22" i="1"/>
  <c r="I14" i="1" s="1"/>
  <c r="E19" i="1"/>
  <c r="I13" i="1" s="1"/>
  <c r="E16" i="1"/>
  <c r="I12" i="1" s="1"/>
  <c r="E13" i="1"/>
  <c r="I11" i="1" s="1"/>
</calcChain>
</file>

<file path=xl/sharedStrings.xml><?xml version="1.0" encoding="utf-8"?>
<sst xmlns="http://schemas.openxmlformats.org/spreadsheetml/2006/main" count="28" uniqueCount="22">
  <si>
    <t>Mittelwert</t>
  </si>
  <si>
    <t>Urel / (uV/V)</t>
  </si>
  <si>
    <t>Messmittel:</t>
  </si>
  <si>
    <t>Zertifikat:</t>
  </si>
  <si>
    <t>Datum:</t>
  </si>
  <si>
    <t>∆U/U / (uV/V)</t>
  </si>
  <si>
    <t>Seriennummer:</t>
  </si>
  <si>
    <t>MM-Nr.</t>
  </si>
  <si>
    <t>Keysight B2981B</t>
  </si>
  <si>
    <t>Bereich</t>
  </si>
  <si>
    <t>200 uA</t>
  </si>
  <si>
    <t>20 uA</t>
  </si>
  <si>
    <t>2 uA</t>
  </si>
  <si>
    <t>200 nA</t>
  </si>
  <si>
    <t>20 nA</t>
  </si>
  <si>
    <t>200 pA</t>
  </si>
  <si>
    <t>2 nA</t>
  </si>
  <si>
    <t>2 pA</t>
  </si>
  <si>
    <t>20 pA</t>
  </si>
  <si>
    <t>Clpo</t>
  </si>
  <si>
    <t>2016-003113</t>
  </si>
  <si>
    <t>MY61390368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</si>
</sst>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18" fontId="1" fillId="0" borderId="0" xfId="0" quotePrefix="1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center"/>
    </xf>
    <xf numFmtId="0" fontId="1" fillId="3" borderId="0" xfId="0" applyFont="1" applyFill="1" applyAlignment="1"/>
    <xf numFmtId="14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I24" sqref="I24"/>
    </sheetView>
  </sheetViews>
  <sheetFormatPr baseColWidth="10" defaultRowHeight="15" x14ac:dyDescent="0.25"/>
  <cols>
    <col min="1" max="1" width="14.5703125" bestFit="1" customWidth="1"/>
    <col min="2" max="2" width="15.42578125" bestFit="1" customWidth="1"/>
    <col min="3" max="4" width="12.28515625" style="1" bestFit="1" customWidth="1"/>
    <col min="5" max="6" width="12.42578125" style="1" bestFit="1" customWidth="1"/>
    <col min="7" max="7" width="11.42578125" style="1"/>
    <col min="8" max="8" width="12.7109375" customWidth="1"/>
    <col min="9" max="10" width="12.7109375" style="1" customWidth="1"/>
    <col min="11" max="11" width="11.42578125" style="1"/>
    <col min="12" max="12" width="12.28515625" bestFit="1" customWidth="1"/>
    <col min="13" max="13" width="11.28515625" bestFit="1" customWidth="1"/>
  </cols>
  <sheetData>
    <row r="1" spans="1:13" x14ac:dyDescent="0.25">
      <c r="A1" s="2" t="s">
        <v>2</v>
      </c>
      <c r="B1" s="3" t="s">
        <v>8</v>
      </c>
      <c r="C1" s="4"/>
      <c r="D1" s="5"/>
      <c r="E1" s="5"/>
      <c r="F1" s="5"/>
      <c r="G1" s="4"/>
    </row>
    <row r="2" spans="1:13" x14ac:dyDescent="0.25">
      <c r="A2" s="2" t="s">
        <v>6</v>
      </c>
      <c r="B2" s="3" t="s">
        <v>21</v>
      </c>
      <c r="C2" s="5"/>
      <c r="D2" s="6"/>
      <c r="E2" s="5"/>
      <c r="F2" s="5"/>
      <c r="G2" s="4"/>
    </row>
    <row r="3" spans="1:13" x14ac:dyDescent="0.25">
      <c r="A3" s="2" t="s">
        <v>7</v>
      </c>
      <c r="B3" s="3">
        <v>507285</v>
      </c>
      <c r="C3" s="5"/>
      <c r="D3" s="6"/>
      <c r="E3" s="5"/>
      <c r="F3" s="5"/>
      <c r="G3" s="25"/>
    </row>
    <row r="4" spans="1:13" x14ac:dyDescent="0.25">
      <c r="A4" s="2" t="s">
        <v>3</v>
      </c>
      <c r="B4" s="37" t="s">
        <v>20</v>
      </c>
      <c r="C4" s="5"/>
      <c r="D4" s="38">
        <v>45681</v>
      </c>
      <c r="E4" s="39" t="s">
        <v>19</v>
      </c>
      <c r="F4" s="5"/>
      <c r="G4" s="33"/>
      <c r="I4" s="34"/>
      <c r="J4" s="34"/>
      <c r="K4" s="34"/>
    </row>
    <row r="5" spans="1:13" x14ac:dyDescent="0.25">
      <c r="A5" s="2" t="s">
        <v>4</v>
      </c>
      <c r="B5" s="40">
        <v>46066</v>
      </c>
      <c r="C5" s="5"/>
      <c r="D5" s="6"/>
      <c r="E5" s="5"/>
      <c r="F5" s="5"/>
      <c r="G5" s="33"/>
      <c r="I5" s="34"/>
      <c r="J5" s="34"/>
      <c r="K5" s="34"/>
    </row>
    <row r="6" spans="1:13" x14ac:dyDescent="0.25">
      <c r="B6" s="12"/>
      <c r="C6" s="5"/>
      <c r="D6" s="27"/>
      <c r="E6" s="12"/>
      <c r="F6" s="5"/>
      <c r="G6" s="4"/>
    </row>
    <row r="7" spans="1:13" x14ac:dyDescent="0.25">
      <c r="B7" s="13"/>
      <c r="C7" s="5"/>
      <c r="D7" s="6"/>
      <c r="E7" s="5"/>
      <c r="F7" s="5"/>
      <c r="G7" s="4"/>
    </row>
    <row r="8" spans="1:13" x14ac:dyDescent="0.25">
      <c r="A8" s="7"/>
      <c r="B8" s="11"/>
      <c r="C8" s="5"/>
      <c r="D8" s="5"/>
      <c r="E8" s="41" t="s">
        <v>0</v>
      </c>
      <c r="F8" s="41"/>
      <c r="G8"/>
      <c r="H8" s="19"/>
      <c r="I8" s="42" t="s">
        <v>0</v>
      </c>
      <c r="J8" s="43"/>
      <c r="K8"/>
      <c r="L8" s="44"/>
      <c r="M8" s="44"/>
    </row>
    <row r="9" spans="1:13" x14ac:dyDescent="0.25">
      <c r="A9" s="8" t="s">
        <v>9</v>
      </c>
      <c r="B9" s="6" t="s">
        <v>5</v>
      </c>
      <c r="C9" s="6" t="s">
        <v>5</v>
      </c>
      <c r="D9" s="5" t="s">
        <v>1</v>
      </c>
      <c r="E9" s="6" t="s">
        <v>5</v>
      </c>
      <c r="F9" s="5" t="s">
        <v>1</v>
      </c>
      <c r="G9"/>
      <c r="H9" s="20"/>
      <c r="I9" s="21" t="s">
        <v>5</v>
      </c>
      <c r="J9" s="16" t="s">
        <v>1</v>
      </c>
      <c r="K9"/>
      <c r="L9" s="21"/>
      <c r="M9" s="26"/>
    </row>
    <row r="10" spans="1:13" x14ac:dyDescent="0.25">
      <c r="A10" s="8" t="s">
        <v>17</v>
      </c>
      <c r="B10" s="36">
        <v>590</v>
      </c>
      <c r="C10" s="36">
        <v>350</v>
      </c>
      <c r="D10" s="36">
        <v>390</v>
      </c>
      <c r="E10" s="9">
        <f>AVERAGE(B10:C12)</f>
        <v>510</v>
      </c>
      <c r="F10" s="10">
        <f>SQRT(4*STDEV(B10:C12)^2+MAX(D10:D12)^2)</f>
        <v>1022.3111072467128</v>
      </c>
      <c r="G10"/>
      <c r="H10" s="20">
        <v>12</v>
      </c>
      <c r="I10" s="22">
        <f>E10</f>
        <v>510</v>
      </c>
      <c r="J10" s="17">
        <f>F10</f>
        <v>1022.3111072467128</v>
      </c>
      <c r="K10"/>
      <c r="L10" s="21"/>
      <c r="M10" s="26"/>
    </row>
    <row r="11" spans="1:13" x14ac:dyDescent="0.25">
      <c r="A11" s="8"/>
      <c r="B11" s="36">
        <v>600</v>
      </c>
      <c r="C11" s="36">
        <v>420</v>
      </c>
      <c r="D11" s="36">
        <v>600</v>
      </c>
      <c r="E11" s="6"/>
      <c r="F11" s="5"/>
      <c r="G11"/>
      <c r="H11" s="20">
        <v>11</v>
      </c>
      <c r="I11" s="22">
        <f>E13</f>
        <v>560</v>
      </c>
      <c r="J11" s="17">
        <f>F13</f>
        <v>168.28547174370104</v>
      </c>
      <c r="K11"/>
      <c r="L11" s="21"/>
      <c r="M11" s="26"/>
    </row>
    <row r="12" spans="1:13" x14ac:dyDescent="0.25">
      <c r="A12" s="8"/>
      <c r="B12" s="36">
        <v>500</v>
      </c>
      <c r="C12" s="36">
        <v>600</v>
      </c>
      <c r="D12" s="36">
        <v>1000</v>
      </c>
      <c r="E12" s="6"/>
      <c r="F12" s="5"/>
      <c r="G12"/>
      <c r="H12" s="20">
        <v>10</v>
      </c>
      <c r="I12" s="22">
        <f>E16</f>
        <v>500</v>
      </c>
      <c r="J12" s="17">
        <f>F16</f>
        <v>143.38758663147937</v>
      </c>
      <c r="K12"/>
      <c r="L12" s="21"/>
      <c r="M12" s="26"/>
    </row>
    <row r="13" spans="1:13" x14ac:dyDescent="0.25">
      <c r="A13" s="8" t="s">
        <v>18</v>
      </c>
      <c r="B13" s="36">
        <v>580</v>
      </c>
      <c r="C13" s="36">
        <v>550</v>
      </c>
      <c r="D13" s="36">
        <v>110</v>
      </c>
      <c r="E13" s="9">
        <f>AVERAGE(B13:C15)</f>
        <v>560</v>
      </c>
      <c r="F13" s="10">
        <f>SQRT(4*STDEV(B13:C15)^2+MAX(D13:D15)^2)</f>
        <v>168.28547174370104</v>
      </c>
      <c r="G13"/>
      <c r="H13" s="20">
        <v>9</v>
      </c>
      <c r="I13" s="22">
        <f>E19</f>
        <v>25</v>
      </c>
      <c r="J13" s="17">
        <f>F19</f>
        <v>73.075303625780435</v>
      </c>
      <c r="K13"/>
      <c r="L13" s="14"/>
      <c r="M13" s="14"/>
    </row>
    <row r="14" spans="1:13" x14ac:dyDescent="0.25">
      <c r="A14" s="8"/>
      <c r="B14" s="36">
        <v>560</v>
      </c>
      <c r="C14" s="36">
        <v>540</v>
      </c>
      <c r="D14" s="36">
        <v>130</v>
      </c>
      <c r="E14" s="6"/>
      <c r="F14" s="5"/>
      <c r="G14"/>
      <c r="H14" s="20">
        <v>8</v>
      </c>
      <c r="I14" s="22">
        <f>E22</f>
        <v>9</v>
      </c>
      <c r="J14" s="17">
        <f>F22</f>
        <v>54.845236803208351</v>
      </c>
      <c r="K14"/>
      <c r="L14" s="14"/>
      <c r="M14" s="14"/>
    </row>
    <row r="15" spans="1:13" x14ac:dyDescent="0.25">
      <c r="A15" s="28"/>
      <c r="B15" s="36">
        <v>600</v>
      </c>
      <c r="C15" s="36">
        <v>530</v>
      </c>
      <c r="D15" s="36">
        <v>160</v>
      </c>
      <c r="E15" s="9"/>
      <c r="F15" s="10"/>
      <c r="G15"/>
      <c r="H15" s="20">
        <v>7</v>
      </c>
      <c r="I15" s="22">
        <f>E25</f>
        <v>-54.5</v>
      </c>
      <c r="J15" s="17">
        <f>F25</f>
        <v>37.210213651630646</v>
      </c>
      <c r="K15"/>
      <c r="L15" s="14"/>
      <c r="M15" s="14"/>
    </row>
    <row r="16" spans="1:13" x14ac:dyDescent="0.25">
      <c r="A16" s="28" t="s">
        <v>15</v>
      </c>
      <c r="B16" s="36">
        <v>480</v>
      </c>
      <c r="C16" s="36">
        <v>510</v>
      </c>
      <c r="D16" s="36">
        <v>80</v>
      </c>
      <c r="E16" s="9">
        <f>AVERAGE(B16:C18)</f>
        <v>500</v>
      </c>
      <c r="F16" s="10">
        <f>SQRT(4*STDEV(B16:C18)^2+MAX(D16:D18)^2)</f>
        <v>143.38758663147937</v>
      </c>
      <c r="G16"/>
      <c r="H16" s="20">
        <v>6</v>
      </c>
      <c r="I16" s="22">
        <f>E28</f>
        <v>-75.666666666666671</v>
      </c>
      <c r="J16" s="17">
        <f>F28</f>
        <v>12.691204303243513</v>
      </c>
      <c r="K16"/>
      <c r="L16" s="14"/>
      <c r="M16" s="14"/>
    </row>
    <row r="17" spans="1:13" x14ac:dyDescent="0.25">
      <c r="A17" s="29"/>
      <c r="B17" s="36">
        <v>490</v>
      </c>
      <c r="C17" s="36">
        <v>510</v>
      </c>
      <c r="D17" s="36">
        <v>100</v>
      </c>
      <c r="E17" s="9"/>
      <c r="F17" s="10"/>
      <c r="G17"/>
      <c r="H17" s="20">
        <v>5</v>
      </c>
      <c r="I17" s="22">
        <f>E31</f>
        <v>-27.833333333333332</v>
      </c>
      <c r="J17" s="17">
        <f>F31</f>
        <v>22.019688160068629</v>
      </c>
      <c r="K17"/>
      <c r="L17" s="14"/>
      <c r="M17" s="14"/>
    </row>
    <row r="18" spans="1:13" x14ac:dyDescent="0.25">
      <c r="A18" s="29"/>
      <c r="B18" s="36">
        <v>490</v>
      </c>
      <c r="C18" s="36">
        <v>520</v>
      </c>
      <c r="D18" s="36">
        <v>140</v>
      </c>
      <c r="E18" s="10"/>
      <c r="F18" s="10"/>
      <c r="G18"/>
      <c r="H18" s="23">
        <v>4</v>
      </c>
      <c r="I18" s="24">
        <f>E34</f>
        <v>-44.666666666666664</v>
      </c>
      <c r="J18" s="18">
        <f>F34</f>
        <v>6.2343136484032202</v>
      </c>
      <c r="K18"/>
      <c r="L18" s="14"/>
      <c r="M18" s="14"/>
    </row>
    <row r="19" spans="1:13" x14ac:dyDescent="0.25">
      <c r="A19" s="32" t="s">
        <v>16</v>
      </c>
      <c r="B19" s="36">
        <v>20</v>
      </c>
      <c r="C19" s="36">
        <v>30</v>
      </c>
      <c r="D19" s="36">
        <v>50</v>
      </c>
      <c r="E19" s="9">
        <f>AVERAGE(B19:C21)</f>
        <v>25</v>
      </c>
      <c r="F19" s="10">
        <f>SQRT(4*STDEV(B19:C21)^2+MAX(D19:D21)^2)</f>
        <v>73.075303625780435</v>
      </c>
      <c r="G19"/>
      <c r="H19" s="1"/>
      <c r="K19"/>
    </row>
    <row r="20" spans="1:13" x14ac:dyDescent="0.25">
      <c r="A20" s="29"/>
      <c r="B20" s="36">
        <v>20</v>
      </c>
      <c r="C20" s="36">
        <v>40</v>
      </c>
      <c r="D20" s="36">
        <v>60</v>
      </c>
      <c r="E20" s="10"/>
      <c r="F20" s="4"/>
      <c r="G20"/>
      <c r="H20" s="1"/>
      <c r="K20"/>
    </row>
    <row r="21" spans="1:13" x14ac:dyDescent="0.25">
      <c r="A21" s="28"/>
      <c r="B21" s="36">
        <v>10</v>
      </c>
      <c r="C21" s="36">
        <v>30</v>
      </c>
      <c r="D21" s="36">
        <v>70</v>
      </c>
      <c r="E21" s="10"/>
      <c r="F21" s="4"/>
      <c r="G21"/>
      <c r="H21" s="1"/>
      <c r="K21"/>
    </row>
    <row r="22" spans="1:13" x14ac:dyDescent="0.25">
      <c r="A22" s="28" t="s">
        <v>14</v>
      </c>
      <c r="B22" s="36">
        <v>-4</v>
      </c>
      <c r="C22" s="36">
        <v>22</v>
      </c>
      <c r="D22" s="36">
        <v>36</v>
      </c>
      <c r="E22" s="9">
        <f>AVERAGE(B22:C24)</f>
        <v>9</v>
      </c>
      <c r="F22" s="10">
        <f>SQRT(4*STDEV(B22:C24)^2+MAX(D22:D24)^2)</f>
        <v>54.845236803208351</v>
      </c>
      <c r="G22"/>
      <c r="H22" s="1"/>
      <c r="J22" s="35"/>
      <c r="K22"/>
    </row>
    <row r="23" spans="1:13" x14ac:dyDescent="0.25">
      <c r="A23" s="28"/>
      <c r="B23" s="36">
        <v>0</v>
      </c>
      <c r="C23" s="36">
        <v>21</v>
      </c>
      <c r="D23" s="36">
        <v>42</v>
      </c>
      <c r="E23" s="10"/>
      <c r="F23" s="4"/>
      <c r="G23" s="14"/>
      <c r="H23" s="1"/>
      <c r="J23" s="35"/>
      <c r="K23"/>
    </row>
    <row r="24" spans="1:13" x14ac:dyDescent="0.25">
      <c r="A24" s="28"/>
      <c r="B24" s="36">
        <v>-5</v>
      </c>
      <c r="C24" s="36">
        <v>20</v>
      </c>
      <c r="D24" s="36">
        <v>48</v>
      </c>
      <c r="E24" s="10"/>
      <c r="F24" s="4"/>
      <c r="G24" s="14"/>
      <c r="H24" s="1"/>
      <c r="J24" s="35"/>
      <c r="K24"/>
    </row>
    <row r="25" spans="1:13" x14ac:dyDescent="0.25">
      <c r="A25" s="28" t="s">
        <v>13</v>
      </c>
      <c r="B25" s="36">
        <v>-57</v>
      </c>
      <c r="C25" s="36">
        <v>-56</v>
      </c>
      <c r="D25" s="36">
        <v>18</v>
      </c>
      <c r="E25" s="9">
        <f>AVERAGE(B25:C27)</f>
        <v>-54.5</v>
      </c>
      <c r="F25" s="10">
        <f>SQRT(4*STDEV(B25:C27)^2+MAX(D25:D27)^2)</f>
        <v>37.210213651630646</v>
      </c>
      <c r="G25" s="14"/>
      <c r="H25" s="1"/>
      <c r="J25"/>
      <c r="K25"/>
    </row>
    <row r="26" spans="1:13" x14ac:dyDescent="0.25">
      <c r="A26" s="29"/>
      <c r="B26" s="36">
        <v>-57</v>
      </c>
      <c r="C26" s="36">
        <v>-56</v>
      </c>
      <c r="D26" s="36">
        <v>24</v>
      </c>
      <c r="E26" s="10"/>
      <c r="F26" s="4"/>
      <c r="G26" s="14"/>
      <c r="H26" s="15"/>
      <c r="J26" s="35"/>
      <c r="K26"/>
    </row>
    <row r="27" spans="1:13" x14ac:dyDescent="0.25">
      <c r="A27" s="29"/>
      <c r="B27" s="36">
        <v>-66</v>
      </c>
      <c r="C27" s="36">
        <v>-35</v>
      </c>
      <c r="D27" s="36">
        <v>31</v>
      </c>
      <c r="E27" s="10"/>
      <c r="F27" s="4"/>
      <c r="G27"/>
      <c r="H27" s="1"/>
      <c r="J27" s="35"/>
      <c r="K27"/>
    </row>
    <row r="28" spans="1:13" x14ac:dyDescent="0.25">
      <c r="A28" s="28" t="s">
        <v>12</v>
      </c>
      <c r="B28" s="36">
        <v>-78</v>
      </c>
      <c r="C28" s="36">
        <v>-74</v>
      </c>
      <c r="D28" s="36">
        <v>9</v>
      </c>
      <c r="E28" s="9">
        <f>AVERAGE(B28:C30)</f>
        <v>-75.666666666666671</v>
      </c>
      <c r="F28" s="10">
        <f>SQRT(4*STDEV(B28:C30)^2+MAX(D28:D30)^2)</f>
        <v>12.691204303243513</v>
      </c>
      <c r="G28"/>
      <c r="H28" s="1"/>
      <c r="J28" s="35"/>
      <c r="K28"/>
    </row>
    <row r="29" spans="1:13" x14ac:dyDescent="0.25">
      <c r="A29" s="30"/>
      <c r="B29" s="36">
        <v>-78</v>
      </c>
      <c r="C29" s="36">
        <v>-76</v>
      </c>
      <c r="D29" s="36">
        <v>10</v>
      </c>
      <c r="E29" s="4"/>
      <c r="F29" s="4"/>
      <c r="G29"/>
      <c r="H29" s="1"/>
      <c r="J29" s="35"/>
      <c r="K29"/>
    </row>
    <row r="30" spans="1:13" x14ac:dyDescent="0.25">
      <c r="A30" s="30"/>
      <c r="B30" s="36">
        <v>-75</v>
      </c>
      <c r="C30" s="36">
        <v>-73</v>
      </c>
      <c r="D30" s="36">
        <v>12</v>
      </c>
      <c r="E30" s="4"/>
      <c r="F30" s="4"/>
      <c r="G30" s="4"/>
      <c r="J30" s="35"/>
    </row>
    <row r="31" spans="1:13" x14ac:dyDescent="0.25">
      <c r="A31" s="32" t="s">
        <v>11</v>
      </c>
      <c r="B31" s="36">
        <v>-34</v>
      </c>
      <c r="C31" s="36">
        <v>-36</v>
      </c>
      <c r="D31" s="36">
        <v>4</v>
      </c>
      <c r="E31" s="9">
        <f>AVERAGE(B31:C33)</f>
        <v>-27.833333333333332</v>
      </c>
      <c r="F31" s="10">
        <f>SQRT(4*STDEV(B31:C33)^2+MAX(D31:D33)^2)</f>
        <v>22.019688160068629</v>
      </c>
      <c r="G31" s="4"/>
      <c r="J31" s="35"/>
    </row>
    <row r="32" spans="1:13" x14ac:dyDescent="0.25">
      <c r="A32" s="30"/>
      <c r="B32" s="36">
        <v>-25</v>
      </c>
      <c r="C32" s="36">
        <v>-22</v>
      </c>
      <c r="D32" s="36">
        <v>8</v>
      </c>
      <c r="E32" s="4"/>
      <c r="F32" s="4"/>
      <c r="J32" s="35"/>
    </row>
    <row r="33" spans="1:10" x14ac:dyDescent="0.25">
      <c r="A33" s="30"/>
      <c r="B33" s="36">
        <v>-34</v>
      </c>
      <c r="C33" s="36">
        <v>-16</v>
      </c>
      <c r="D33" s="36">
        <v>15</v>
      </c>
      <c r="E33" s="4"/>
      <c r="F33" s="4"/>
      <c r="J33" s="35"/>
    </row>
    <row r="34" spans="1:10" x14ac:dyDescent="0.25">
      <c r="A34" s="28" t="s">
        <v>10</v>
      </c>
      <c r="B34" s="36">
        <v>-48</v>
      </c>
      <c r="C34" s="36">
        <v>-45</v>
      </c>
      <c r="D34" s="36">
        <v>3</v>
      </c>
      <c r="E34" s="9">
        <f>AVERAGE(B34:C36)</f>
        <v>-44.666666666666664</v>
      </c>
      <c r="F34" s="10">
        <f>SQRT(4*STDEV(B34:C36)^2+MAX(D34:D36)^2)</f>
        <v>6.2343136484032202</v>
      </c>
      <c r="J34" s="35"/>
    </row>
    <row r="35" spans="1:10" x14ac:dyDescent="0.25">
      <c r="A35" s="31"/>
      <c r="B35" s="36">
        <v>-43</v>
      </c>
      <c r="C35" s="36">
        <v>-43</v>
      </c>
      <c r="D35" s="36">
        <v>4</v>
      </c>
      <c r="J35" s="35"/>
    </row>
    <row r="36" spans="1:10" x14ac:dyDescent="0.25">
      <c r="A36" s="31"/>
      <c r="B36" s="36">
        <v>-45</v>
      </c>
      <c r="C36" s="36">
        <v>-44</v>
      </c>
      <c r="D36" s="36">
        <v>5</v>
      </c>
      <c r="J36" s="35"/>
    </row>
    <row r="37" spans="1:10" x14ac:dyDescent="0.25">
      <c r="B37" s="1"/>
      <c r="J37" s="35"/>
    </row>
    <row r="38" spans="1:10" x14ac:dyDescent="0.25">
      <c r="J38" s="35"/>
    </row>
    <row r="39" spans="1:10" x14ac:dyDescent="0.25">
      <c r="J39" s="45"/>
    </row>
    <row r="40" spans="1:10" x14ac:dyDescent="0.25">
      <c r="J40" s="35"/>
    </row>
    <row r="41" spans="1:10" x14ac:dyDescent="0.25">
      <c r="J41" s="35"/>
    </row>
    <row r="42" spans="1:10" x14ac:dyDescent="0.25">
      <c r="J42" s="35"/>
    </row>
    <row r="43" spans="1:10" x14ac:dyDescent="0.25">
      <c r="J43" s="35"/>
    </row>
    <row r="44" spans="1:10" x14ac:dyDescent="0.25">
      <c r="J44" s="35"/>
    </row>
    <row r="45" spans="1:10" x14ac:dyDescent="0.25">
      <c r="J45" s="35"/>
    </row>
    <row r="46" spans="1:10" x14ac:dyDescent="0.25">
      <c r="J46" s="35"/>
    </row>
    <row r="47" spans="1:10" x14ac:dyDescent="0.25">
      <c r="J47" s="35"/>
    </row>
    <row r="48" spans="1:10" x14ac:dyDescent="0.25">
      <c r="J48" s="35"/>
    </row>
    <row r="49" spans="10:10" x14ac:dyDescent="0.25">
      <c r="J49" s="35"/>
    </row>
    <row r="50" spans="10:10" x14ac:dyDescent="0.25">
      <c r="J50" s="35"/>
    </row>
  </sheetData>
  <mergeCells count="3">
    <mergeCell ref="E8:F8"/>
    <mergeCell ref="I8:J8"/>
    <mergeCell ref="L8:M8"/>
  </mergeCells>
  <pageMargins left="0.59055118110236227" right="0.59055118110236227" top="0.78740157480314965" bottom="0.78740157480314965" header="0.31496062992125984" footer="0.31496062992125984"/>
  <pageSetup paperSize="9" orientation="landscape" r:id="rId1"/>
  <headerFooter>
    <oddFooter>&amp;R13.11.2008/Sare</oddFooter>
  </headerFooter>
  <ignoredErrors>
    <ignoredError sqref="E11:E34 F10:F12 F14:F15 I10:J11" evalError="1"/>
    <ignoredError sqref="F13 F16:F34" evalError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>METAS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Schafer Reto</dc:creator>
  <cp:lastModifiedBy>Clapera Pol METAS</cp:lastModifiedBy>
  <cp:lastPrinted>2010-02-04T06:49:32Z</cp:lastPrinted>
  <dcterms:created xsi:type="dcterms:W3CDTF">2008-11-07T16:18:51Z</dcterms:created>
  <dcterms:modified xsi:type="dcterms:W3CDTF">2026-02-19T09:35:43Z</dcterms:modified>
</cp:coreProperties>
</file>