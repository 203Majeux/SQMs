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S:\OPTIK\Messmittel\4775 TRAP-Detektor EAM6\2023_Kalibrierung-PTB-Berlin\"/>
    </mc:Choice>
  </mc:AlternateContent>
  <xr:revisionPtr revIDLastSave="0" documentId="13_ncr:1_{EC81AE05-925B-4261-B9AE-6EB89B9EC9C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73321 23 PTB" sheetId="1" r:id="rId1"/>
    <sheet name="Chk1" sheetId="2" r:id="rId2"/>
  </sheets>
  <externalReferences>
    <externalReference r:id="rId3"/>
  </externalReferences>
  <definedNames>
    <definedName name="Amp1_P">[1]DUT!$F:$F</definedName>
    <definedName name="Amp1_R1">[1]Ref1!$I:$I</definedName>
    <definedName name="Amp1_R2">[1]Ref2!$I:$I</definedName>
    <definedName name="Amp1_R3">[1]Ref3!$I:$I</definedName>
    <definedName name="Amp2_P">[1]DUT!$G:$G</definedName>
    <definedName name="Amp2_R1">[1]Ref1!$J:$J</definedName>
    <definedName name="Amp2_R2">[1]Ref2!$J:$J</definedName>
    <definedName name="Amp2_R3">[1]Ref3!$J:$J</definedName>
    <definedName name="c_A1">[1]Ref1!$K:$K</definedName>
    <definedName name="c_A2">[1]Ref2!$K:$K</definedName>
    <definedName name="c_A3">[1]Ref3!$K:$K</definedName>
    <definedName name="c_AP">[1]DUT!$H:$H</definedName>
    <definedName name="c_WL_cell">[1]DUT!$B:$B</definedName>
    <definedName name="c_WL_trap">[1]DUT!$C:$C</definedName>
    <definedName name="eps_R1">[1]Ref1!$B:$B</definedName>
    <definedName name="eps_R2">[1]Ref2!$B:$B</definedName>
    <definedName name="eps_R3">[1]Ref3!$B:$B</definedName>
    <definedName name="i_P">[1]Measure!$E:$E</definedName>
    <definedName name="i_P0">[1]Measure!$C:$C</definedName>
    <definedName name="i_R1">[1]Measure!$I:$I</definedName>
    <definedName name="i_R10">[1]Measure!$G:$G</definedName>
    <definedName name="i_R2">[1]Measure!$M:$M</definedName>
    <definedName name="i_R20">[1]Measure!$K:$K</definedName>
    <definedName name="i_R3">[1]Measure!$Q:$Q</definedName>
    <definedName name="i_R30">[1]Measure!$O:$O</definedName>
    <definedName name="N">[1]Eval!$J$1</definedName>
    <definedName name="nue_R1">[1]Ref1!$E:$E</definedName>
    <definedName name="nue_R2">[1]Ref2!$E:$E</definedName>
    <definedName name="nue_R3">[1]Ref3!$E:$E</definedName>
    <definedName name="u_c_A1">[1]Ref1!$L:$L</definedName>
    <definedName name="u_c_A2">[1]Ref2!$L:$L</definedName>
    <definedName name="u_c_A3">[1]Ref3!$L:$L</definedName>
    <definedName name="u_c_AP">[1]DUT!$I:$I</definedName>
    <definedName name="u_epsr_R1">[1]Ref1!$F:$F</definedName>
    <definedName name="u_epsr_R2">[1]Ref2!$F:$F</definedName>
    <definedName name="u_epsr_R3">[1]Ref3!$F:$F</definedName>
    <definedName name="u_I_P">[1]Measure!$D:$D</definedName>
    <definedName name="u_I_P0">[1]Measure!$B:$B</definedName>
    <definedName name="u_i_R1">[1]Measure!$H:$H</definedName>
    <definedName name="u_i_R10">[1]Measure!$F:$F</definedName>
    <definedName name="u_i_R2">[1]Measure!$L:$L</definedName>
    <definedName name="u_i_R20">[1]Measure!$J:$J</definedName>
    <definedName name="u_i_R3">[1]Measure!$P:$P</definedName>
    <definedName name="u_i_R30">[1]Measure!$N:$N</definedName>
    <definedName name="WL_Ref1">[1]Ref1!$A:$A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B6" i="2"/>
  <c r="A6" i="2"/>
  <c r="A7" i="2"/>
  <c r="B7" i="2" s="1"/>
  <c r="A8" i="2"/>
  <c r="B8" i="2" s="1"/>
  <c r="A9" i="2"/>
  <c r="B9" i="2" s="1"/>
  <c r="A10" i="2"/>
  <c r="B10" i="2" s="1"/>
  <c r="A12" i="2"/>
  <c r="A13" i="2"/>
  <c r="B13" i="2" s="1"/>
  <c r="A14" i="2"/>
  <c r="B14" i="2" s="1"/>
  <c r="A15" i="2"/>
  <c r="B15" i="2" s="1"/>
  <c r="A16" i="2"/>
  <c r="B16" i="2" s="1"/>
  <c r="A17" i="2"/>
  <c r="A18" i="2"/>
  <c r="B18" i="2" s="1"/>
  <c r="A19" i="2"/>
  <c r="A20" i="2"/>
  <c r="B20" i="2" s="1"/>
  <c r="A21" i="2"/>
  <c r="B21" i="2" s="1"/>
  <c r="A22" i="2"/>
  <c r="B22" i="2" s="1"/>
  <c r="A23" i="2"/>
  <c r="B23" i="2" s="1"/>
  <c r="A24" i="2"/>
  <c r="A25" i="2"/>
  <c r="A26" i="2"/>
  <c r="B26" i="2" s="1"/>
  <c r="A27" i="2"/>
  <c r="A28" i="2"/>
  <c r="B28" i="2" s="1"/>
  <c r="A29" i="2"/>
  <c r="B29" i="2" s="1"/>
  <c r="A30" i="2"/>
  <c r="B30" i="2" s="1"/>
  <c r="A31" i="2"/>
  <c r="B31" i="2" s="1"/>
  <c r="A32" i="2"/>
  <c r="B32" i="2" s="1"/>
  <c r="A33" i="2"/>
  <c r="B33" i="2" s="1"/>
  <c r="A34" i="2"/>
  <c r="A35" i="2"/>
  <c r="A36" i="2"/>
  <c r="B36" i="2" s="1"/>
  <c r="A37" i="2"/>
  <c r="B37" i="2" s="1"/>
  <c r="A38" i="2"/>
  <c r="B38" i="2" s="1"/>
  <c r="A39" i="2"/>
  <c r="B39" i="2" s="1"/>
  <c r="A40" i="2"/>
  <c r="B40" i="2" s="1"/>
  <c r="A41" i="2"/>
  <c r="A42" i="2"/>
  <c r="B42" i="2" s="1"/>
  <c r="A43" i="2"/>
  <c r="B43" i="2" s="1"/>
  <c r="A44" i="2"/>
  <c r="A45" i="2"/>
  <c r="B45" i="2" s="1"/>
  <c r="A46" i="2"/>
  <c r="B46" i="2" s="1"/>
  <c r="A47" i="2"/>
  <c r="B47" i="2" s="1"/>
  <c r="A48" i="2"/>
  <c r="B48" i="2" s="1"/>
  <c r="A49" i="2"/>
  <c r="A50" i="2"/>
  <c r="B50" i="2" s="1"/>
  <c r="A51" i="2"/>
  <c r="A52" i="2"/>
  <c r="B52" i="2" s="1"/>
  <c r="A53" i="2"/>
  <c r="B53" i="2" s="1"/>
  <c r="A54" i="2"/>
  <c r="B54" i="2" s="1"/>
  <c r="A55" i="2"/>
  <c r="B55" i="2" s="1"/>
  <c r="A56" i="2"/>
  <c r="A57" i="2"/>
  <c r="A58" i="2"/>
  <c r="B58" i="2" s="1"/>
  <c r="A59" i="2"/>
  <c r="B59" i="2" s="1"/>
  <c r="A60" i="2"/>
  <c r="A61" i="2"/>
  <c r="B61" i="2" s="1"/>
  <c r="A62" i="2"/>
  <c r="A63" i="2"/>
  <c r="B63" i="2" s="1"/>
  <c r="A64" i="2"/>
  <c r="A65" i="2"/>
  <c r="B65" i="2" s="1"/>
  <c r="A66" i="2"/>
  <c r="B66" i="2" s="1"/>
  <c r="A67" i="2"/>
  <c r="B67" i="2" s="1"/>
  <c r="A68" i="2"/>
  <c r="B68" i="2" s="1"/>
  <c r="A69" i="2"/>
  <c r="B69" i="2" s="1"/>
  <c r="A70" i="2"/>
  <c r="B70" i="2" s="1"/>
  <c r="A71" i="2"/>
  <c r="B71" i="2" s="1"/>
  <c r="A72" i="2"/>
  <c r="A73" i="2"/>
  <c r="B73" i="2" s="1"/>
  <c r="A74" i="2"/>
  <c r="B74" i="2" s="1"/>
  <c r="A75" i="2"/>
  <c r="A76" i="2"/>
  <c r="A77" i="2"/>
  <c r="B77" i="2" s="1"/>
  <c r="A78" i="2"/>
  <c r="B78" i="2" s="1"/>
  <c r="A79" i="2"/>
  <c r="B79" i="2" s="1"/>
  <c r="A80" i="2"/>
  <c r="B80" i="2" s="1"/>
  <c r="A81" i="2"/>
  <c r="B81" i="2" s="1"/>
  <c r="A82" i="2"/>
  <c r="B82" i="2" s="1"/>
  <c r="A83" i="2"/>
  <c r="A84" i="2"/>
  <c r="B84" i="2" s="1"/>
  <c r="A85" i="2"/>
  <c r="B85" i="2" s="1"/>
  <c r="A86" i="2"/>
  <c r="B86" i="2" s="1"/>
  <c r="A87" i="2"/>
  <c r="A88" i="2"/>
  <c r="B88" i="2" s="1"/>
  <c r="A89" i="2"/>
  <c r="B89" i="2" s="1"/>
  <c r="A90" i="2"/>
  <c r="A91" i="2"/>
  <c r="B91" i="2" s="1"/>
  <c r="A11" i="2"/>
  <c r="B11" i="2" s="1"/>
  <c r="B90" i="2"/>
  <c r="B87" i="2"/>
  <c r="B83" i="2"/>
  <c r="B76" i="2"/>
  <c r="B75" i="2"/>
  <c r="B72" i="2"/>
  <c r="B64" i="2"/>
  <c r="B62" i="2"/>
  <c r="B60" i="2"/>
  <c r="B57" i="2"/>
  <c r="B56" i="2"/>
  <c r="B51" i="2"/>
  <c r="B49" i="2"/>
  <c r="B44" i="2"/>
  <c r="B41" i="2"/>
  <c r="B35" i="2"/>
  <c r="B34" i="2"/>
  <c r="B27" i="2"/>
  <c r="B25" i="2"/>
  <c r="B24" i="2"/>
  <c r="B19" i="2"/>
  <c r="B17" i="2"/>
  <c r="B12" i="2"/>
  <c r="M171" i="1"/>
  <c r="M65" i="1"/>
  <c r="H82" i="1"/>
  <c r="I10" i="1"/>
  <c r="N15" i="1"/>
  <c r="I48" i="1"/>
  <c r="I22" i="1"/>
  <c r="I47" i="1"/>
  <c r="I65" i="1"/>
  <c r="N44" i="1"/>
  <c r="H39" i="1"/>
  <c r="H22" i="1"/>
  <c r="H46" i="1"/>
  <c r="N85" i="1"/>
  <c r="N75" i="1"/>
  <c r="N35" i="1"/>
  <c r="N147" i="1"/>
  <c r="N112" i="1"/>
  <c r="I37" i="1"/>
  <c r="N140" i="1"/>
  <c r="N101" i="1"/>
  <c r="N170" i="1"/>
  <c r="I54" i="1"/>
  <c r="N47" i="1"/>
  <c r="M59" i="1"/>
  <c r="H77" i="1"/>
  <c r="H45" i="1"/>
  <c r="H27" i="1"/>
  <c r="I9" i="1"/>
  <c r="N150" i="1"/>
  <c r="I81" i="1"/>
  <c r="M29" i="1"/>
  <c r="I23" i="1"/>
  <c r="M107" i="1"/>
  <c r="H65" i="1"/>
  <c r="N121" i="1"/>
  <c r="N24" i="1"/>
  <c r="N74" i="1"/>
  <c r="N114" i="1"/>
  <c r="M166" i="1"/>
  <c r="M154" i="1"/>
  <c r="N6" i="1"/>
  <c r="N48" i="1"/>
  <c r="M5" i="1"/>
  <c r="M69" i="1"/>
  <c r="I40" i="1"/>
  <c r="N25" i="1"/>
  <c r="I87" i="1"/>
  <c r="M115" i="1"/>
  <c r="N149" i="1"/>
  <c r="N166" i="1"/>
  <c r="M79" i="1"/>
  <c r="I45" i="1"/>
  <c r="H41" i="1"/>
  <c r="H34" i="1"/>
  <c r="N30" i="1"/>
  <c r="H33" i="1"/>
  <c r="M169" i="1"/>
  <c r="N102" i="1"/>
  <c r="I49" i="1"/>
  <c r="N172" i="1"/>
  <c r="N10" i="1"/>
  <c r="H81" i="1"/>
  <c r="M161" i="1"/>
  <c r="N42" i="1"/>
  <c r="N94" i="1"/>
  <c r="H30" i="1"/>
  <c r="I43" i="1"/>
  <c r="M78" i="1"/>
  <c r="N9" i="1"/>
  <c r="M39" i="1"/>
  <c r="I36" i="1"/>
  <c r="I75" i="1"/>
  <c r="H9" i="1"/>
  <c r="H62" i="1"/>
  <c r="H5" i="1"/>
  <c r="H8" i="1"/>
  <c r="N133" i="1"/>
  <c r="H10" i="1"/>
  <c r="M9" i="1"/>
  <c r="H48" i="1"/>
  <c r="I69" i="1"/>
  <c r="N142" i="1"/>
  <c r="N125" i="1"/>
  <c r="N45" i="1"/>
  <c r="M6" i="1"/>
  <c r="M73" i="1"/>
  <c r="M120" i="1"/>
  <c r="N108" i="1"/>
  <c r="I13" i="1"/>
  <c r="M94" i="1"/>
  <c r="N26" i="1"/>
  <c r="N57" i="1"/>
  <c r="I6" i="1"/>
  <c r="H31" i="1"/>
  <c r="M170" i="1"/>
  <c r="H53" i="1"/>
  <c r="H25" i="1"/>
  <c r="N71" i="1"/>
  <c r="M71" i="1"/>
  <c r="H55" i="1"/>
  <c r="I5" i="1"/>
  <c r="M11" i="1"/>
  <c r="N159" i="1"/>
  <c r="I46" i="1"/>
  <c r="H56" i="1"/>
  <c r="H16" i="1"/>
  <c r="N27" i="1"/>
  <c r="H73" i="1"/>
  <c r="H75" i="1"/>
  <c r="I31" i="1"/>
  <c r="N155" i="1"/>
  <c r="M38" i="1"/>
  <c r="N128" i="1"/>
  <c r="M18" i="1"/>
  <c r="N113" i="1"/>
  <c r="H78" i="1"/>
  <c r="M99" i="1"/>
  <c r="M90" i="1"/>
  <c r="M36" i="1"/>
  <c r="N38" i="1"/>
  <c r="M119" i="1"/>
  <c r="I42" i="1"/>
  <c r="I34" i="1"/>
  <c r="N19" i="1"/>
  <c r="H17" i="1"/>
  <c r="N5" i="1"/>
  <c r="I66" i="1"/>
  <c r="M172" i="1"/>
  <c r="N20" i="1"/>
  <c r="M55" i="1"/>
  <c r="N69" i="1"/>
  <c r="H37" i="1"/>
  <c r="M54" i="1"/>
  <c r="M132" i="1"/>
  <c r="N43" i="1"/>
  <c r="M48" i="1"/>
  <c r="I21" i="1"/>
  <c r="H79" i="1"/>
  <c r="M88" i="1"/>
  <c r="I64" i="1"/>
  <c r="N81" i="1"/>
  <c r="M150" i="1"/>
  <c r="H38" i="1"/>
  <c r="I14" i="1"/>
  <c r="H49" i="1"/>
  <c r="I41" i="1"/>
  <c r="N51" i="1"/>
  <c r="I32" i="1"/>
  <c r="N8" i="1"/>
  <c r="M37" i="1"/>
  <c r="I74" i="1"/>
  <c r="M61" i="1"/>
  <c r="N22" i="1"/>
  <c r="M92" i="1"/>
  <c r="N83" i="1"/>
  <c r="H84" i="1"/>
  <c r="M26" i="1"/>
  <c r="H52" i="1"/>
  <c r="H85" i="1"/>
  <c r="M15" i="1"/>
  <c r="M130" i="1"/>
  <c r="I63" i="1"/>
  <c r="M138" i="1"/>
  <c r="H66" i="1"/>
  <c r="N59" i="1"/>
  <c r="M149" i="1"/>
  <c r="N171" i="1"/>
  <c r="M128" i="1"/>
  <c r="N168" i="1"/>
  <c r="M80" i="1"/>
  <c r="N151" i="1"/>
  <c r="M126" i="1"/>
  <c r="N96" i="1"/>
  <c r="N87" i="1"/>
  <c r="M42" i="1"/>
  <c r="M23" i="1"/>
  <c r="H3" i="1"/>
  <c r="I24" i="1"/>
  <c r="H47" i="1"/>
  <c r="I50" i="1"/>
  <c r="M84" i="1"/>
  <c r="N46" i="1"/>
  <c r="N148" i="1"/>
  <c r="M44" i="1"/>
  <c r="H19" i="1"/>
  <c r="N116" i="1"/>
  <c r="M57" i="1"/>
  <c r="M52" i="1"/>
  <c r="M91" i="1"/>
  <c r="M118" i="1"/>
  <c r="I27" i="1"/>
  <c r="N127" i="1"/>
  <c r="I82" i="1"/>
  <c r="N33" i="1"/>
  <c r="H43" i="1"/>
  <c r="N55" i="1"/>
  <c r="I78" i="1"/>
  <c r="N115" i="1"/>
  <c r="I76" i="1"/>
  <c r="N41" i="1"/>
  <c r="N23" i="1"/>
  <c r="N123" i="1"/>
  <c r="M4" i="1"/>
  <c r="H28" i="1"/>
  <c r="N118" i="1"/>
  <c r="N77" i="1"/>
  <c r="M64" i="1"/>
  <c r="M47" i="1"/>
  <c r="H68" i="1"/>
  <c r="N156" i="1"/>
  <c r="M3" i="1"/>
  <c r="H72" i="1"/>
  <c r="N99" i="1"/>
  <c r="N65" i="1"/>
  <c r="M28" i="1"/>
  <c r="M125" i="1"/>
  <c r="I55" i="1"/>
  <c r="N72" i="1"/>
  <c r="M50" i="1"/>
  <c r="N14" i="1"/>
  <c r="M62" i="1"/>
  <c r="N90" i="1"/>
  <c r="M104" i="1"/>
  <c r="N64" i="1"/>
  <c r="M131" i="1"/>
  <c r="I35" i="1"/>
  <c r="I7" i="1"/>
  <c r="M167" i="1"/>
  <c r="M139" i="1"/>
  <c r="M21" i="1"/>
  <c r="H57" i="1"/>
  <c r="M134" i="1"/>
  <c r="M43" i="1"/>
  <c r="N49" i="1"/>
  <c r="N16" i="1"/>
  <c r="N84" i="1"/>
  <c r="N117" i="1"/>
  <c r="I19" i="1"/>
  <c r="M17" i="1"/>
  <c r="N21" i="1"/>
  <c r="H83" i="1"/>
  <c r="M86" i="1"/>
  <c r="N158" i="1"/>
  <c r="M31" i="1"/>
  <c r="M49" i="1"/>
  <c r="M147" i="1"/>
  <c r="N162" i="1"/>
  <c r="M25" i="1"/>
  <c r="H40" i="1"/>
  <c r="N143" i="1"/>
  <c r="N86" i="1"/>
  <c r="I67" i="1"/>
  <c r="M133" i="1"/>
  <c r="I39" i="1"/>
  <c r="N93" i="1"/>
  <c r="N29" i="1"/>
  <c r="I73" i="1"/>
  <c r="H63" i="1"/>
  <c r="H50" i="1"/>
  <c r="I57" i="1"/>
  <c r="I20" i="1"/>
  <c r="N88" i="1"/>
  <c r="N67" i="1"/>
  <c r="N2" i="1"/>
  <c r="H86" i="1"/>
  <c r="M113" i="1"/>
  <c r="I44" i="1"/>
  <c r="M77" i="1"/>
  <c r="M142" i="1"/>
  <c r="H64" i="1"/>
  <c r="M101" i="1"/>
  <c r="M58" i="1"/>
  <c r="M14" i="1"/>
  <c r="N105" i="1"/>
  <c r="N126" i="1"/>
  <c r="I61" i="1"/>
  <c r="M72" i="1"/>
  <c r="M68" i="1"/>
  <c r="M158" i="1"/>
  <c r="M145" i="1"/>
  <c r="M8" i="1"/>
  <c r="M87" i="1"/>
  <c r="N12" i="1"/>
  <c r="H61" i="1"/>
  <c r="N53" i="1"/>
  <c r="I59" i="1"/>
  <c r="I56" i="1"/>
  <c r="N160" i="1"/>
  <c r="N7" i="1"/>
  <c r="M85" i="1"/>
  <c r="N141" i="1"/>
  <c r="I58" i="1"/>
  <c r="H74" i="1"/>
  <c r="I30" i="1"/>
  <c r="M121" i="1"/>
  <c r="M13" i="1"/>
  <c r="M152" i="1"/>
  <c r="N76" i="1"/>
  <c r="N4" i="1"/>
  <c r="N70" i="1"/>
  <c r="M168" i="1"/>
  <c r="H76" i="1"/>
  <c r="N106" i="1"/>
  <c r="N36" i="1"/>
  <c r="H15" i="1"/>
  <c r="N32" i="1"/>
  <c r="M33" i="1"/>
  <c r="M164" i="1"/>
  <c r="M20" i="1"/>
  <c r="M35" i="1"/>
  <c r="H35" i="1"/>
  <c r="M96" i="1"/>
  <c r="M163" i="1"/>
  <c r="I85" i="1"/>
  <c r="N62" i="1"/>
  <c r="I12" i="1"/>
  <c r="H13" i="1"/>
  <c r="I72" i="1"/>
  <c r="M83" i="1"/>
  <c r="N39" i="1"/>
  <c r="I3" i="1"/>
  <c r="M70" i="1"/>
  <c r="N50" i="1"/>
  <c r="M98" i="1"/>
  <c r="M135" i="1"/>
  <c r="M155" i="1"/>
  <c r="M112" i="1"/>
  <c r="I86" i="1"/>
  <c r="N153" i="1"/>
  <c r="M146" i="1"/>
  <c r="M116" i="1"/>
  <c r="M95" i="1"/>
  <c r="M19" i="1"/>
  <c r="I15" i="1"/>
  <c r="I38" i="1"/>
  <c r="M105" i="1"/>
  <c r="M148" i="1"/>
  <c r="M27" i="1"/>
  <c r="H60" i="1"/>
  <c r="M110" i="1"/>
  <c r="M97" i="1"/>
  <c r="H54" i="1"/>
  <c r="I11" i="1"/>
  <c r="N145" i="1"/>
  <c r="M40" i="1"/>
  <c r="N129" i="1"/>
  <c r="M127" i="1"/>
  <c r="M153" i="1"/>
  <c r="N89" i="1"/>
  <c r="N80" i="1"/>
  <c r="H44" i="1"/>
  <c r="N100" i="1"/>
  <c r="M156" i="1"/>
  <c r="I83" i="1"/>
  <c r="I71" i="1"/>
  <c r="H12" i="1"/>
  <c r="N52" i="1"/>
  <c r="I84" i="1"/>
  <c r="H24" i="1"/>
  <c r="N58" i="1"/>
  <c r="H11" i="1"/>
  <c r="I4" i="1"/>
  <c r="H23" i="1"/>
  <c r="I8" i="1"/>
  <c r="M75" i="1"/>
  <c r="N139" i="1"/>
  <c r="M89" i="1"/>
  <c r="N3" i="1"/>
  <c r="M67" i="1"/>
  <c r="N34" i="1"/>
  <c r="I16" i="1"/>
  <c r="I18" i="1"/>
  <c r="N56" i="1"/>
  <c r="M157" i="1"/>
  <c r="M63" i="1"/>
  <c r="H14" i="1"/>
  <c r="M60" i="1"/>
  <c r="I26" i="1"/>
  <c r="N31" i="1"/>
  <c r="N124" i="1"/>
  <c r="M114" i="1"/>
  <c r="H6" i="1"/>
  <c r="M109" i="1"/>
  <c r="N107" i="1"/>
  <c r="M140" i="1"/>
  <c r="M124" i="1"/>
  <c r="M144" i="1"/>
  <c r="N164" i="1"/>
  <c r="M45" i="1"/>
  <c r="I60" i="1"/>
  <c r="N73" i="1"/>
  <c r="N40" i="1"/>
  <c r="N91" i="1"/>
  <c r="H4" i="1"/>
  <c r="I29" i="1"/>
  <c r="I33" i="1"/>
  <c r="M100" i="1"/>
  <c r="N120" i="1"/>
  <c r="I28" i="1"/>
  <c r="M16" i="1"/>
  <c r="H67" i="1"/>
  <c r="N169" i="1"/>
  <c r="N28" i="1"/>
  <c r="N144" i="1"/>
  <c r="M66" i="1"/>
  <c r="N110" i="1"/>
  <c r="N163" i="1"/>
  <c r="I68" i="1"/>
  <c r="I77" i="1"/>
  <c r="M2" i="1"/>
  <c r="M22" i="1"/>
  <c r="H42" i="1"/>
  <c r="I25" i="1"/>
  <c r="N119" i="1"/>
  <c r="I62" i="1"/>
  <c r="M162" i="1"/>
  <c r="M159" i="1"/>
  <c r="M111" i="1"/>
  <c r="H80" i="1"/>
  <c r="N154" i="1"/>
  <c r="M7" i="1"/>
  <c r="N161" i="1"/>
  <c r="M30" i="1"/>
  <c r="N66" i="1"/>
  <c r="M143" i="1"/>
  <c r="N54" i="1"/>
  <c r="N98" i="1"/>
  <c r="N132" i="1"/>
  <c r="H58" i="1"/>
  <c r="M32" i="1"/>
  <c r="I52" i="1"/>
  <c r="N136" i="1"/>
  <c r="N11" i="1"/>
  <c r="N103" i="1"/>
  <c r="M51" i="1"/>
  <c r="N157" i="1"/>
  <c r="N104" i="1"/>
  <c r="N13" i="1"/>
  <c r="I80" i="1"/>
  <c r="N146" i="1"/>
  <c r="M34" i="1"/>
  <c r="M53" i="1"/>
  <c r="H2" i="1"/>
  <c r="N92" i="1"/>
  <c r="M141" i="1"/>
  <c r="M103" i="1"/>
  <c r="N152" i="1"/>
  <c r="M165" i="1"/>
  <c r="N18" i="1"/>
  <c r="N60" i="1"/>
  <c r="M108" i="1"/>
  <c r="I2" i="1"/>
  <c r="M46" i="1"/>
  <c r="M10" i="1"/>
  <c r="M123" i="1"/>
  <c r="N68" i="1"/>
  <c r="M106" i="1"/>
  <c r="N78" i="1"/>
  <c r="M74" i="1"/>
  <c r="M137" i="1"/>
  <c r="I51" i="1"/>
  <c r="H26" i="1"/>
  <c r="M12" i="1"/>
  <c r="M76" i="1"/>
  <c r="N135" i="1"/>
  <c r="N122" i="1"/>
  <c r="N82" i="1"/>
  <c r="N131" i="1"/>
  <c r="N111" i="1"/>
  <c r="N165" i="1"/>
  <c r="N134" i="1"/>
  <c r="M24" i="1"/>
  <c r="I53" i="1"/>
  <c r="M41" i="1"/>
  <c r="H20" i="1"/>
  <c r="M56" i="1"/>
  <c r="M102" i="1"/>
  <c r="H29" i="1"/>
  <c r="M160" i="1"/>
  <c r="I17" i="1"/>
  <c r="N167" i="1"/>
  <c r="M136" i="1"/>
  <c r="N37" i="1"/>
  <c r="H7" i="1"/>
  <c r="H70" i="1"/>
  <c r="M81" i="1"/>
  <c r="N79" i="1"/>
  <c r="H69" i="1"/>
  <c r="M151" i="1"/>
  <c r="N109" i="1"/>
  <c r="H87" i="1"/>
  <c r="N63" i="1"/>
  <c r="M117" i="1"/>
  <c r="H21" i="1"/>
  <c r="I70" i="1"/>
  <c r="N17" i="1"/>
  <c r="N130" i="1"/>
  <c r="M82" i="1"/>
  <c r="M129" i="1"/>
  <c r="H18" i="1"/>
  <c r="N61" i="1"/>
  <c r="H71" i="1"/>
  <c r="N97" i="1"/>
  <c r="N95" i="1"/>
  <c r="N137" i="1"/>
  <c r="M93" i="1"/>
  <c r="I79" i="1"/>
  <c r="H59" i="1"/>
  <c r="H32" i="1"/>
  <c r="H51" i="1"/>
  <c r="M122" i="1"/>
  <c r="H36" i="1"/>
  <c r="N138" i="1"/>
  <c r="O2" i="1" l="1"/>
  <c r="O134" i="1"/>
  <c r="O70" i="1"/>
  <c r="O6" i="1"/>
  <c r="O97" i="1"/>
  <c r="O33" i="1"/>
  <c r="O148" i="1"/>
  <c r="O84" i="1"/>
  <c r="O20" i="1"/>
  <c r="O135" i="1"/>
  <c r="O71" i="1"/>
  <c r="O7" i="1"/>
  <c r="C27" i="2"/>
  <c r="J28" i="1"/>
  <c r="J82" i="1"/>
  <c r="J75" i="1"/>
  <c r="C70" i="2"/>
  <c r="C51" i="2"/>
  <c r="J52" i="1"/>
  <c r="C72" i="2"/>
  <c r="C48" i="2"/>
  <c r="J45" i="1"/>
  <c r="O146" i="1"/>
  <c r="O82" i="1"/>
  <c r="O18" i="1"/>
  <c r="O109" i="1"/>
  <c r="O45" i="1"/>
  <c r="O160" i="1"/>
  <c r="O96" i="1"/>
  <c r="O32" i="1"/>
  <c r="O147" i="1"/>
  <c r="O83" i="1"/>
  <c r="O19" i="1"/>
  <c r="C75" i="2"/>
  <c r="J76" i="1"/>
  <c r="C39" i="2"/>
  <c r="J40" i="1"/>
  <c r="C24" i="2"/>
  <c r="C20" i="2"/>
  <c r="J17" i="1"/>
  <c r="C26" i="2"/>
  <c r="C17" i="2"/>
  <c r="J10" i="1"/>
  <c r="J3" i="1"/>
  <c r="O126" i="1"/>
  <c r="O62" i="1"/>
  <c r="O157" i="1"/>
  <c r="O89" i="1"/>
  <c r="O25" i="1"/>
  <c r="O140" i="1"/>
  <c r="O76" i="1"/>
  <c r="O12" i="1"/>
  <c r="O127" i="1"/>
  <c r="O63" i="1"/>
  <c r="C78" i="2"/>
  <c r="J86" i="1"/>
  <c r="J79" i="1"/>
  <c r="J50" i="1"/>
  <c r="J43" i="1"/>
  <c r="C38" i="2"/>
  <c r="C19" i="2"/>
  <c r="J20" i="1"/>
  <c r="C71" i="2"/>
  <c r="C16" i="2"/>
  <c r="J13" i="1"/>
  <c r="O106" i="1"/>
  <c r="O42" i="1"/>
  <c r="O133" i="1"/>
  <c r="O69" i="1"/>
  <c r="O5" i="1"/>
  <c r="O120" i="1"/>
  <c r="O56" i="1"/>
  <c r="O171" i="1"/>
  <c r="O107" i="1"/>
  <c r="O43" i="1"/>
  <c r="C9" i="2"/>
  <c r="J6" i="1"/>
  <c r="C62" i="2"/>
  <c r="J53" i="1"/>
  <c r="C6" i="2"/>
  <c r="C37" i="2"/>
  <c r="J30" i="1"/>
  <c r="J23" i="1"/>
  <c r="C34" i="2"/>
  <c r="C15" i="2"/>
  <c r="J16" i="1"/>
  <c r="O118" i="1"/>
  <c r="O54" i="1"/>
  <c r="O145" i="1"/>
  <c r="O81" i="1"/>
  <c r="O17" i="1"/>
  <c r="O132" i="1"/>
  <c r="O68" i="1"/>
  <c r="O4" i="1"/>
  <c r="O119" i="1"/>
  <c r="O55" i="1"/>
  <c r="C61" i="2"/>
  <c r="J54" i="1"/>
  <c r="J47" i="1"/>
  <c r="J18" i="1"/>
  <c r="J11" i="1"/>
  <c r="C85" i="2"/>
  <c r="J78" i="1"/>
  <c r="J71" i="1"/>
  <c r="C82" i="2"/>
  <c r="C63" i="2"/>
  <c r="J64" i="1"/>
  <c r="O130" i="1"/>
  <c r="O66" i="1"/>
  <c r="O169" i="1"/>
  <c r="O93" i="1"/>
  <c r="O29" i="1"/>
  <c r="O144" i="1"/>
  <c r="O80" i="1"/>
  <c r="O16" i="1"/>
  <c r="O131" i="1"/>
  <c r="O67" i="1"/>
  <c r="O3" i="1"/>
  <c r="C11" i="2"/>
  <c r="J12" i="1"/>
  <c r="J66" i="1"/>
  <c r="J59" i="1"/>
  <c r="C54" i="2"/>
  <c r="C35" i="2"/>
  <c r="J36" i="1"/>
  <c r="C40" i="2"/>
  <c r="C32" i="2"/>
  <c r="J29" i="1"/>
  <c r="O110" i="1"/>
  <c r="O46" i="1"/>
  <c r="O137" i="1"/>
  <c r="O73" i="1"/>
  <c r="O9" i="1"/>
  <c r="O124" i="1"/>
  <c r="O60" i="1"/>
  <c r="O165" i="1"/>
  <c r="O111" i="1"/>
  <c r="O47" i="1"/>
  <c r="C29" i="2"/>
  <c r="J22" i="1"/>
  <c r="J15" i="1"/>
  <c r="J69" i="1"/>
  <c r="C30" i="2"/>
  <c r="C53" i="2"/>
  <c r="J46" i="1"/>
  <c r="J39" i="1"/>
  <c r="C50" i="2"/>
  <c r="C31" i="2"/>
  <c r="J32" i="1"/>
  <c r="O154" i="1"/>
  <c r="O90" i="1"/>
  <c r="O26" i="1"/>
  <c r="O117" i="1"/>
  <c r="O53" i="1"/>
  <c r="O168" i="1"/>
  <c r="O104" i="1"/>
  <c r="O40" i="1"/>
  <c r="O155" i="1"/>
  <c r="O91" i="1"/>
  <c r="O27" i="1"/>
  <c r="C28" i="2"/>
  <c r="J25" i="1"/>
  <c r="C8" i="2"/>
  <c r="J72" i="1"/>
  <c r="C41" i="2"/>
  <c r="C52" i="2"/>
  <c r="J49" i="1"/>
  <c r="C77" i="2"/>
  <c r="C49" i="2"/>
  <c r="J42" i="1"/>
  <c r="J35" i="1"/>
  <c r="O166" i="1"/>
  <c r="O102" i="1"/>
  <c r="O38" i="1"/>
  <c r="O129" i="1"/>
  <c r="O65" i="1"/>
  <c r="O161" i="1"/>
  <c r="O116" i="1"/>
  <c r="O52" i="1"/>
  <c r="O167" i="1"/>
  <c r="O103" i="1"/>
  <c r="O39" i="1"/>
  <c r="C76" i="2"/>
  <c r="J73" i="1"/>
  <c r="C58" i="2"/>
  <c r="J37" i="1"/>
  <c r="C90" i="2"/>
  <c r="C21" i="2"/>
  <c r="J14" i="1"/>
  <c r="J7" i="1"/>
  <c r="C18" i="2"/>
  <c r="J83" i="1"/>
  <c r="J87" i="1"/>
  <c r="O114" i="1"/>
  <c r="O50" i="1"/>
  <c r="O141" i="1"/>
  <c r="O77" i="1"/>
  <c r="O13" i="1"/>
  <c r="O128" i="1"/>
  <c r="O64" i="1"/>
  <c r="O170" i="1"/>
  <c r="O115" i="1"/>
  <c r="O51" i="1"/>
  <c r="C45" i="2"/>
  <c r="J38" i="1"/>
  <c r="J31" i="1"/>
  <c r="J85" i="1"/>
  <c r="C13" i="2"/>
  <c r="C69" i="2"/>
  <c r="J62" i="1"/>
  <c r="J55" i="1"/>
  <c r="C66" i="2"/>
  <c r="C47" i="2"/>
  <c r="J48" i="1"/>
  <c r="O158" i="1"/>
  <c r="O94" i="1"/>
  <c r="O30" i="1"/>
  <c r="O121" i="1"/>
  <c r="O57" i="1"/>
  <c r="O172" i="1"/>
  <c r="O108" i="1"/>
  <c r="O44" i="1"/>
  <c r="O159" i="1"/>
  <c r="O95" i="1"/>
  <c r="O31" i="1"/>
  <c r="C44" i="2"/>
  <c r="J41" i="1"/>
  <c r="C56" i="2"/>
  <c r="J5" i="1"/>
  <c r="C10" i="2"/>
  <c r="C68" i="2"/>
  <c r="J65" i="1"/>
  <c r="C46" i="2"/>
  <c r="C65" i="2"/>
  <c r="J58" i="1"/>
  <c r="J51" i="1"/>
  <c r="O138" i="1"/>
  <c r="O74" i="1"/>
  <c r="O10" i="1"/>
  <c r="O101" i="1"/>
  <c r="O37" i="1"/>
  <c r="O152" i="1"/>
  <c r="O88" i="1"/>
  <c r="O24" i="1"/>
  <c r="O139" i="1"/>
  <c r="O75" i="1"/>
  <c r="O11" i="1"/>
  <c r="C43" i="2"/>
  <c r="J44" i="1"/>
  <c r="C7" i="2"/>
  <c r="J8" i="1"/>
  <c r="C86" i="2"/>
  <c r="C67" i="2"/>
  <c r="J68" i="1"/>
  <c r="C25" i="2"/>
  <c r="C64" i="2"/>
  <c r="J61" i="1"/>
  <c r="O150" i="1"/>
  <c r="O86" i="1"/>
  <c r="O22" i="1"/>
  <c r="O113" i="1"/>
  <c r="O49" i="1"/>
  <c r="O164" i="1"/>
  <c r="O100" i="1"/>
  <c r="O36" i="1"/>
  <c r="O151" i="1"/>
  <c r="O87" i="1"/>
  <c r="O23" i="1"/>
  <c r="C12" i="2"/>
  <c r="J9" i="1"/>
  <c r="C55" i="2"/>
  <c r="J56" i="1"/>
  <c r="C88" i="2"/>
  <c r="C36" i="2"/>
  <c r="J33" i="1"/>
  <c r="C74" i="2"/>
  <c r="C33" i="2"/>
  <c r="J26" i="1"/>
  <c r="J19" i="1"/>
  <c r="O162" i="1"/>
  <c r="O98" i="1"/>
  <c r="O34" i="1"/>
  <c r="O125" i="1"/>
  <c r="O61" i="1"/>
  <c r="O153" i="1"/>
  <c r="O112" i="1"/>
  <c r="O48" i="1"/>
  <c r="O163" i="1"/>
  <c r="O99" i="1"/>
  <c r="O35" i="1"/>
  <c r="C60" i="2"/>
  <c r="J57" i="1"/>
  <c r="C57" i="2"/>
  <c r="J21" i="1"/>
  <c r="C42" i="2"/>
  <c r="C84" i="2"/>
  <c r="J81" i="1"/>
  <c r="C79" i="2"/>
  <c r="C81" i="2"/>
  <c r="J74" i="1"/>
  <c r="J67" i="1"/>
  <c r="O142" i="1"/>
  <c r="O78" i="1"/>
  <c r="O14" i="1"/>
  <c r="O105" i="1"/>
  <c r="O41" i="1"/>
  <c r="O156" i="1"/>
  <c r="O92" i="1"/>
  <c r="O28" i="1"/>
  <c r="O143" i="1"/>
  <c r="O79" i="1"/>
  <c r="O15" i="1"/>
  <c r="C59" i="2"/>
  <c r="J60" i="1"/>
  <c r="C23" i="2"/>
  <c r="J24" i="1"/>
  <c r="C91" i="2"/>
  <c r="C89" i="2"/>
  <c r="J84" i="1"/>
  <c r="C73" i="2"/>
  <c r="C80" i="2"/>
  <c r="J77" i="1"/>
  <c r="O122" i="1"/>
  <c r="O58" i="1"/>
  <c r="O149" i="1"/>
  <c r="O85" i="1"/>
  <c r="O21" i="1"/>
  <c r="O136" i="1"/>
  <c r="O72" i="1"/>
  <c r="O8" i="1"/>
  <c r="O123" i="1"/>
  <c r="O59" i="1"/>
  <c r="C14" i="2"/>
  <c r="J70" i="1"/>
  <c r="J63" i="1"/>
  <c r="J34" i="1"/>
  <c r="J27" i="1"/>
  <c r="C22" i="2"/>
  <c r="J2" i="1"/>
  <c r="J4" i="1"/>
  <c r="C87" i="2"/>
  <c r="C83" i="2"/>
  <c r="J80" i="1"/>
</calcChain>
</file>

<file path=xl/sharedStrings.xml><?xml version="1.0" encoding="utf-8"?>
<sst xmlns="http://schemas.openxmlformats.org/spreadsheetml/2006/main" count="27" uniqueCount="21">
  <si>
    <r>
      <rPr>
        <i/>
        <sz val="11"/>
        <color theme="1"/>
        <rFont val="Calibri"/>
        <family val="2"/>
      </rPr>
      <t>λ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/ nm</t>
    </r>
  </si>
  <si>
    <r>
      <rPr>
        <i/>
        <sz val="11"/>
        <color theme="1"/>
        <rFont val="Calibri"/>
        <family val="2"/>
        <scheme val="minor"/>
      </rPr>
      <t>s(</t>
    </r>
    <r>
      <rPr>
        <i/>
        <sz val="11"/>
        <color theme="1"/>
        <rFont val="Calibri"/>
        <family val="2"/>
      </rPr>
      <t>λ)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/ (A/W)</t>
    </r>
  </si>
  <si>
    <r>
      <rPr>
        <i/>
        <sz val="11"/>
        <color theme="1"/>
        <rFont val="Calibri"/>
        <family val="2"/>
        <scheme val="minor"/>
      </rPr>
      <t>U(s(</t>
    </r>
    <r>
      <rPr>
        <i/>
        <sz val="11"/>
        <color theme="1"/>
        <rFont val="Calibri"/>
        <family val="2"/>
      </rPr>
      <t>λ))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/ (A/W)</t>
    </r>
  </si>
  <si>
    <r>
      <rPr>
        <i/>
        <sz val="11"/>
        <color theme="1"/>
        <rFont val="Calibri"/>
        <family val="2"/>
      </rPr>
      <t>ɸ</t>
    </r>
    <r>
      <rPr>
        <i/>
        <sz val="11"/>
        <color theme="1"/>
        <rFont val="Calibri"/>
        <family val="2"/>
        <scheme val="minor"/>
      </rPr>
      <t>(</t>
    </r>
    <r>
      <rPr>
        <i/>
        <sz val="11"/>
        <color theme="1"/>
        <rFont val="Calibri"/>
        <family val="2"/>
      </rPr>
      <t>λ)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/ (</t>
    </r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W)</t>
    </r>
  </si>
  <si>
    <t>interpolation</t>
  </si>
  <si>
    <t>comparison</t>
  </si>
  <si>
    <t>ideal QED:</t>
  </si>
  <si>
    <t>with "ideal QED"</t>
  </si>
  <si>
    <t>e</t>
  </si>
  <si>
    <t>C</t>
  </si>
  <si>
    <t>h</t>
  </si>
  <si>
    <t>J s</t>
  </si>
  <si>
    <t>WL / nm</t>
  </si>
  <si>
    <t>c</t>
  </si>
  <si>
    <t>m / s</t>
  </si>
  <si>
    <t>eps</t>
  </si>
  <si>
    <t>A/W /m</t>
  </si>
  <si>
    <t>A/W /nm</t>
  </si>
  <si>
    <t>A/W /microm</t>
  </si>
  <si>
    <t>microm / (A/W)</t>
  </si>
  <si>
    <r>
      <rPr>
        <i/>
        <sz val="11"/>
        <color theme="1"/>
        <rFont val="Calibri"/>
        <family val="2"/>
        <scheme val="minor"/>
      </rPr>
      <t>U(s(</t>
    </r>
    <r>
      <rPr>
        <i/>
        <sz val="11"/>
        <color theme="1"/>
        <rFont val="Calibri"/>
        <family val="2"/>
      </rPr>
      <t>λ))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/ 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</si>
</sst>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0.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  <xf numFmtId="9" fontId="2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21" fillId="0" borderId="0" xfId="42"/>
    <xf numFmtId="10" fontId="21" fillId="0" borderId="0" xfId="43" applyNumberFormat="1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2" fontId="0" fillId="0" borderId="0" xfId="0" applyNumberFormat="1"/>
    <xf numFmtId="0" fontId="21" fillId="0" borderId="0" xfId="42" applyFill="1"/>
    <xf numFmtId="166" fontId="0" fillId="0" borderId="0" xfId="0" applyNumberFormat="1" applyAlignment="1">
      <alignment horizont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Prozent 2" xfId="43" xr:uid="{00000000-0005-0000-0000-000020000000}"/>
    <cellStyle name="Schlecht" xfId="7" builtinId="27" customBuiltin="1"/>
    <cellStyle name="Standard" xfId="0" builtinId="0"/>
    <cellStyle name="Standard 2" xfId="42" xr:uid="{00000000-0005-0000-0000-000023000000}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406015037594"/>
          <c:y val="5.613311311589738E-2"/>
          <c:w val="0.78947368421052633"/>
          <c:h val="0.79625860456995168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'Chk1'!$A$5:$A$81</c:f>
              <c:numCache>
                <c:formatCode>General</c:formatCode>
                <c:ptCount val="77"/>
                <c:pt idx="0">
                  <c:v>240</c:v>
                </c:pt>
                <c:pt idx="1">
                  <c:v>250</c:v>
                </c:pt>
                <c:pt idx="2">
                  <c:v>260</c:v>
                </c:pt>
                <c:pt idx="3">
                  <c:v>270</c:v>
                </c:pt>
                <c:pt idx="4">
                  <c:v>280</c:v>
                </c:pt>
                <c:pt idx="5">
                  <c:v>290</c:v>
                </c:pt>
                <c:pt idx="6">
                  <c:v>300</c:v>
                </c:pt>
                <c:pt idx="7">
                  <c:v>310</c:v>
                </c:pt>
                <c:pt idx="8">
                  <c:v>320</c:v>
                </c:pt>
                <c:pt idx="9">
                  <c:v>330</c:v>
                </c:pt>
                <c:pt idx="10">
                  <c:v>340</c:v>
                </c:pt>
                <c:pt idx="11">
                  <c:v>350</c:v>
                </c:pt>
                <c:pt idx="12">
                  <c:v>360</c:v>
                </c:pt>
                <c:pt idx="13">
                  <c:v>370</c:v>
                </c:pt>
                <c:pt idx="14">
                  <c:v>380</c:v>
                </c:pt>
                <c:pt idx="15">
                  <c:v>390</c:v>
                </c:pt>
                <c:pt idx="16">
                  <c:v>400</c:v>
                </c:pt>
                <c:pt idx="17">
                  <c:v>410</c:v>
                </c:pt>
                <c:pt idx="18">
                  <c:v>420</c:v>
                </c:pt>
                <c:pt idx="19">
                  <c:v>430</c:v>
                </c:pt>
                <c:pt idx="20">
                  <c:v>440</c:v>
                </c:pt>
                <c:pt idx="21">
                  <c:v>450</c:v>
                </c:pt>
                <c:pt idx="22">
                  <c:v>460</c:v>
                </c:pt>
                <c:pt idx="23">
                  <c:v>470</c:v>
                </c:pt>
                <c:pt idx="24">
                  <c:v>480</c:v>
                </c:pt>
                <c:pt idx="25">
                  <c:v>490</c:v>
                </c:pt>
                <c:pt idx="26">
                  <c:v>500</c:v>
                </c:pt>
                <c:pt idx="27">
                  <c:v>510</c:v>
                </c:pt>
                <c:pt idx="28">
                  <c:v>520</c:v>
                </c:pt>
                <c:pt idx="29">
                  <c:v>530</c:v>
                </c:pt>
                <c:pt idx="30">
                  <c:v>540</c:v>
                </c:pt>
                <c:pt idx="31">
                  <c:v>550</c:v>
                </c:pt>
                <c:pt idx="32">
                  <c:v>560</c:v>
                </c:pt>
                <c:pt idx="33">
                  <c:v>570</c:v>
                </c:pt>
                <c:pt idx="34">
                  <c:v>580</c:v>
                </c:pt>
                <c:pt idx="35">
                  <c:v>590</c:v>
                </c:pt>
                <c:pt idx="36">
                  <c:v>600</c:v>
                </c:pt>
                <c:pt idx="37">
                  <c:v>610</c:v>
                </c:pt>
                <c:pt idx="38">
                  <c:v>620</c:v>
                </c:pt>
                <c:pt idx="39">
                  <c:v>630</c:v>
                </c:pt>
                <c:pt idx="40">
                  <c:v>640</c:v>
                </c:pt>
                <c:pt idx="41">
                  <c:v>650</c:v>
                </c:pt>
                <c:pt idx="42">
                  <c:v>660</c:v>
                </c:pt>
                <c:pt idx="43">
                  <c:v>670</c:v>
                </c:pt>
                <c:pt idx="44">
                  <c:v>680</c:v>
                </c:pt>
                <c:pt idx="45">
                  <c:v>690</c:v>
                </c:pt>
                <c:pt idx="46">
                  <c:v>700</c:v>
                </c:pt>
                <c:pt idx="47">
                  <c:v>710</c:v>
                </c:pt>
                <c:pt idx="48">
                  <c:v>720</c:v>
                </c:pt>
                <c:pt idx="49">
                  <c:v>730</c:v>
                </c:pt>
                <c:pt idx="50">
                  <c:v>740</c:v>
                </c:pt>
                <c:pt idx="51">
                  <c:v>750</c:v>
                </c:pt>
                <c:pt idx="52">
                  <c:v>760</c:v>
                </c:pt>
                <c:pt idx="53">
                  <c:v>770</c:v>
                </c:pt>
                <c:pt idx="54">
                  <c:v>780</c:v>
                </c:pt>
                <c:pt idx="55">
                  <c:v>790</c:v>
                </c:pt>
                <c:pt idx="56">
                  <c:v>800</c:v>
                </c:pt>
                <c:pt idx="57">
                  <c:v>810</c:v>
                </c:pt>
                <c:pt idx="58">
                  <c:v>820</c:v>
                </c:pt>
                <c:pt idx="59">
                  <c:v>830</c:v>
                </c:pt>
                <c:pt idx="60">
                  <c:v>840</c:v>
                </c:pt>
                <c:pt idx="61">
                  <c:v>850</c:v>
                </c:pt>
                <c:pt idx="62">
                  <c:v>860</c:v>
                </c:pt>
                <c:pt idx="63">
                  <c:v>870</c:v>
                </c:pt>
                <c:pt idx="64">
                  <c:v>880</c:v>
                </c:pt>
                <c:pt idx="65">
                  <c:v>890</c:v>
                </c:pt>
                <c:pt idx="66">
                  <c:v>900</c:v>
                </c:pt>
                <c:pt idx="67">
                  <c:v>910</c:v>
                </c:pt>
                <c:pt idx="68">
                  <c:v>920</c:v>
                </c:pt>
                <c:pt idx="69">
                  <c:v>930</c:v>
                </c:pt>
                <c:pt idx="70">
                  <c:v>940</c:v>
                </c:pt>
                <c:pt idx="71">
                  <c:v>950</c:v>
                </c:pt>
                <c:pt idx="72">
                  <c:v>960</c:v>
                </c:pt>
                <c:pt idx="73">
                  <c:v>970</c:v>
                </c:pt>
                <c:pt idx="74">
                  <c:v>980</c:v>
                </c:pt>
                <c:pt idx="75">
                  <c:v>990</c:v>
                </c:pt>
                <c:pt idx="76">
                  <c:v>1000</c:v>
                </c:pt>
              </c:numCache>
            </c:numRef>
          </c:xVal>
          <c:yVal>
            <c:numRef>
              <c:f>'Chk1'!$C$5:$C$81</c:f>
              <c:numCache>
                <c:formatCode>0.00%</c:formatCode>
                <c:ptCount val="77"/>
                <c:pt idx="1">
                  <c:v>6.4825822346239459E-2</c:v>
                </c:pt>
                <c:pt idx="2">
                  <c:v>4.9395508487590778E-3</c:v>
                </c:pt>
                <c:pt idx="3">
                  <c:v>-5.372510547866638E-2</c:v>
                </c:pt>
                <c:pt idx="4">
                  <c:v>-5.8561472912658008E-2</c:v>
                </c:pt>
                <c:pt idx="5">
                  <c:v>-2.8348724403606695E-2</c:v>
                </c:pt>
                <c:pt idx="6">
                  <c:v>-3.3088625758285639E-2</c:v>
                </c:pt>
                <c:pt idx="7">
                  <c:v>-4.776142147316409E-2</c:v>
                </c:pt>
                <c:pt idx="8">
                  <c:v>-5.9269954001665903E-2</c:v>
                </c:pt>
                <c:pt idx="9">
                  <c:v>-6.5873051424029438E-2</c:v>
                </c:pt>
                <c:pt idx="10">
                  <c:v>-6.9170456278574433E-2</c:v>
                </c:pt>
                <c:pt idx="11">
                  <c:v>-7.3413007740986469E-2</c:v>
                </c:pt>
                <c:pt idx="12">
                  <c:v>-8.0863867193719852E-2</c:v>
                </c:pt>
                <c:pt idx="13">
                  <c:v>-8.3957887084680105E-2</c:v>
                </c:pt>
                <c:pt idx="14">
                  <c:v>-7.3348685115800283E-2</c:v>
                </c:pt>
                <c:pt idx="15">
                  <c:v>-6.0295207885278201E-2</c:v>
                </c:pt>
                <c:pt idx="16">
                  <c:v>-5.0839029042471506E-2</c:v>
                </c:pt>
                <c:pt idx="17">
                  <c:v>-4.2176767727689524E-2</c:v>
                </c:pt>
                <c:pt idx="18">
                  <c:v>-3.5904838087091995E-2</c:v>
                </c:pt>
                <c:pt idx="19">
                  <c:v>-3.1366302738805918E-2</c:v>
                </c:pt>
                <c:pt idx="20">
                  <c:v>-2.7738520080080376E-2</c:v>
                </c:pt>
                <c:pt idx="21">
                  <c:v>-2.4630148756741077E-2</c:v>
                </c:pt>
                <c:pt idx="22">
                  <c:v>-2.1872548691940663E-2</c:v>
                </c:pt>
                <c:pt idx="23">
                  <c:v>-1.9496089460911192E-2</c:v>
                </c:pt>
                <c:pt idx="24">
                  <c:v>-1.7347799563025235E-2</c:v>
                </c:pt>
                <c:pt idx="25">
                  <c:v>-1.5590829719525634E-2</c:v>
                </c:pt>
                <c:pt idx="26">
                  <c:v>-1.4003326022227203E-2</c:v>
                </c:pt>
                <c:pt idx="27">
                  <c:v>-1.267256237670733E-2</c:v>
                </c:pt>
                <c:pt idx="28">
                  <c:v>-1.1583726856901899E-2</c:v>
                </c:pt>
                <c:pt idx="29">
                  <c:v>-1.0629552443939261E-2</c:v>
                </c:pt>
                <c:pt idx="30">
                  <c:v>-9.8714380710925864E-3</c:v>
                </c:pt>
                <c:pt idx="31">
                  <c:v>-9.2310618140415412E-3</c:v>
                </c:pt>
                <c:pt idx="32">
                  <c:v>-8.7021162737253022E-3</c:v>
                </c:pt>
                <c:pt idx="33">
                  <c:v>-8.235233450815449E-3</c:v>
                </c:pt>
                <c:pt idx="34">
                  <c:v>-7.86995637392085E-3</c:v>
                </c:pt>
                <c:pt idx="35">
                  <c:v>-7.5380758404083315E-3</c:v>
                </c:pt>
                <c:pt idx="36">
                  <c:v>-7.2792500866344367E-3</c:v>
                </c:pt>
                <c:pt idx="37">
                  <c:v>-6.8866334831425569E-3</c:v>
                </c:pt>
                <c:pt idx="38">
                  <c:v>-6.6466640820268541E-3</c:v>
                </c:pt>
                <c:pt idx="39">
                  <c:v>-6.3552726663864689E-3</c:v>
                </c:pt>
                <c:pt idx="40">
                  <c:v>-6.0729872324849499E-3</c:v>
                </c:pt>
                <c:pt idx="41">
                  <c:v>-5.8566109768154462E-3</c:v>
                </c:pt>
                <c:pt idx="42">
                  <c:v>-5.6843625442198897E-3</c:v>
                </c:pt>
                <c:pt idx="43">
                  <c:v>-5.4247303405252634E-3</c:v>
                </c:pt>
                <c:pt idx="44">
                  <c:v>-5.2456662549256183E-3</c:v>
                </c:pt>
                <c:pt idx="45">
                  <c:v>-5.1077298792204795E-3</c:v>
                </c:pt>
                <c:pt idx="46">
                  <c:v>-4.9383104883706785E-3</c:v>
                </c:pt>
                <c:pt idx="47">
                  <c:v>-4.8085885988340404E-3</c:v>
                </c:pt>
                <c:pt idx="48">
                  <c:v>-4.6824700951179077E-3</c:v>
                </c:pt>
                <c:pt idx="49">
                  <c:v>-4.5767910285686719E-3</c:v>
                </c:pt>
                <c:pt idx="50">
                  <c:v>-4.4572135326591544E-3</c:v>
                </c:pt>
                <c:pt idx="51">
                  <c:v>-4.3904184462044693E-3</c:v>
                </c:pt>
                <c:pt idx="52">
                  <c:v>-4.2927537066101973E-3</c:v>
                </c:pt>
                <c:pt idx="53">
                  <c:v>-4.2459312422946649E-3</c:v>
                </c:pt>
                <c:pt idx="54">
                  <c:v>-4.2003093539874081E-3</c:v>
                </c:pt>
                <c:pt idx="55">
                  <c:v>-4.1401482488554464E-3</c:v>
                </c:pt>
                <c:pt idx="56">
                  <c:v>-4.0969891951738724E-3</c:v>
                </c:pt>
                <c:pt idx="57">
                  <c:v>-4.1008158677223738E-3</c:v>
                </c:pt>
                <c:pt idx="58">
                  <c:v>-4.0591891370711508E-3</c:v>
                </c:pt>
                <c:pt idx="59">
                  <c:v>-4.0335033144569543E-3</c:v>
                </c:pt>
                <c:pt idx="60">
                  <c:v>-4.0379491044231219E-3</c:v>
                </c:pt>
                <c:pt idx="61">
                  <c:v>-4.0277039122045277E-3</c:v>
                </c:pt>
                <c:pt idx="62">
                  <c:v>-4.0321137466164947E-3</c:v>
                </c:pt>
                <c:pt idx="63">
                  <c:v>-4.0364222055245813E-3</c:v>
                </c:pt>
                <c:pt idx="64">
                  <c:v>-4.0406327449119539E-3</c:v>
                </c:pt>
                <c:pt idx="65">
                  <c:v>-4.0586794733665776E-3</c:v>
                </c:pt>
                <c:pt idx="66">
                  <c:v>-4.1176532269365795E-3</c:v>
                </c:pt>
                <c:pt idx="67">
                  <c:v>-4.3252018536523718E-3</c:v>
                </c:pt>
                <c:pt idx="68">
                  <c:v>-5.0673002518586419E-3</c:v>
                </c:pt>
                <c:pt idx="69">
                  <c:v>-6.8333069495613019E-3</c:v>
                </c:pt>
                <c:pt idx="70">
                  <c:v>-1.0197275167682207E-2</c:v>
                </c:pt>
                <c:pt idx="71">
                  <c:v>-1.6139769390369652E-2</c:v>
                </c:pt>
                <c:pt idx="72">
                  <c:v>-2.6530378677588784E-2</c:v>
                </c:pt>
                <c:pt idx="73">
                  <c:v>-4.3826253149715555E-2</c:v>
                </c:pt>
                <c:pt idx="74">
                  <c:v>-7.0498114117639732E-2</c:v>
                </c:pt>
                <c:pt idx="75">
                  <c:v>-0.10881666652366895</c:v>
                </c:pt>
                <c:pt idx="76">
                  <c:v>-0.16112296656016767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CD-43FC-8DB0-2F92FE87A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675584"/>
        <c:axId val="106562688"/>
      </c:scatterChart>
      <c:valAx>
        <c:axId val="106675584"/>
        <c:scaling>
          <c:orientation val="minMax"/>
          <c:max val="1000"/>
          <c:min val="25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CH"/>
                  <a:t>wl / nm</a:t>
                </a:r>
              </a:p>
            </c:rich>
          </c:tx>
          <c:layout>
            <c:manualLayout>
              <c:xMode val="edge"/>
              <c:yMode val="edge"/>
              <c:x val="0.5172932330827068"/>
              <c:y val="0.918919791990658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06562688"/>
        <c:crosses val="autoZero"/>
        <c:crossBetween val="midCat"/>
      </c:valAx>
      <c:valAx>
        <c:axId val="1065626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CH"/>
                  <a:t>deviation to ideal QED</a:t>
                </a:r>
              </a:p>
            </c:rich>
          </c:tx>
          <c:layout>
            <c:manualLayout>
              <c:xMode val="edge"/>
              <c:yMode val="edge"/>
              <c:x val="2.4060150375939851E-2"/>
              <c:y val="0.2869025051702217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06675584"/>
        <c:crosses val="autoZero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787418655097614"/>
          <c:y val="7.9617834394904455E-2"/>
          <c:w val="0.76789587852494579"/>
          <c:h val="0.71974522292993626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'Chk1'!$A$5:$A$92</c:f>
              <c:numCache>
                <c:formatCode>General</c:formatCode>
                <c:ptCount val="88"/>
                <c:pt idx="0">
                  <c:v>240</c:v>
                </c:pt>
                <c:pt idx="1">
                  <c:v>250</c:v>
                </c:pt>
                <c:pt idx="2">
                  <c:v>260</c:v>
                </c:pt>
                <c:pt idx="3">
                  <c:v>270</c:v>
                </c:pt>
                <c:pt idx="4">
                  <c:v>280</c:v>
                </c:pt>
                <c:pt idx="5">
                  <c:v>290</c:v>
                </c:pt>
                <c:pt idx="6">
                  <c:v>300</c:v>
                </c:pt>
                <c:pt idx="7">
                  <c:v>310</c:v>
                </c:pt>
                <c:pt idx="8">
                  <c:v>320</c:v>
                </c:pt>
                <c:pt idx="9">
                  <c:v>330</c:v>
                </c:pt>
                <c:pt idx="10">
                  <c:v>340</c:v>
                </c:pt>
                <c:pt idx="11">
                  <c:v>350</c:v>
                </c:pt>
                <c:pt idx="12">
                  <c:v>360</c:v>
                </c:pt>
                <c:pt idx="13">
                  <c:v>370</c:v>
                </c:pt>
                <c:pt idx="14">
                  <c:v>380</c:v>
                </c:pt>
                <c:pt idx="15">
                  <c:v>390</c:v>
                </c:pt>
                <c:pt idx="16">
                  <c:v>400</c:v>
                </c:pt>
                <c:pt idx="17">
                  <c:v>410</c:v>
                </c:pt>
                <c:pt idx="18">
                  <c:v>420</c:v>
                </c:pt>
                <c:pt idx="19">
                  <c:v>430</c:v>
                </c:pt>
                <c:pt idx="20">
                  <c:v>440</c:v>
                </c:pt>
                <c:pt idx="21">
                  <c:v>450</c:v>
                </c:pt>
                <c:pt idx="22">
                  <c:v>460</c:v>
                </c:pt>
                <c:pt idx="23">
                  <c:v>470</c:v>
                </c:pt>
                <c:pt idx="24">
                  <c:v>480</c:v>
                </c:pt>
                <c:pt idx="25">
                  <c:v>490</c:v>
                </c:pt>
                <c:pt idx="26">
                  <c:v>500</c:v>
                </c:pt>
                <c:pt idx="27">
                  <c:v>510</c:v>
                </c:pt>
                <c:pt idx="28">
                  <c:v>520</c:v>
                </c:pt>
                <c:pt idx="29">
                  <c:v>530</c:v>
                </c:pt>
                <c:pt idx="30">
                  <c:v>540</c:v>
                </c:pt>
                <c:pt idx="31">
                  <c:v>550</c:v>
                </c:pt>
                <c:pt idx="32">
                  <c:v>560</c:v>
                </c:pt>
                <c:pt idx="33">
                  <c:v>570</c:v>
                </c:pt>
                <c:pt idx="34">
                  <c:v>580</c:v>
                </c:pt>
                <c:pt idx="35">
                  <c:v>590</c:v>
                </c:pt>
                <c:pt idx="36">
                  <c:v>600</c:v>
                </c:pt>
                <c:pt idx="37">
                  <c:v>610</c:v>
                </c:pt>
                <c:pt idx="38">
                  <c:v>620</c:v>
                </c:pt>
                <c:pt idx="39">
                  <c:v>630</c:v>
                </c:pt>
                <c:pt idx="40">
                  <c:v>640</c:v>
                </c:pt>
                <c:pt idx="41">
                  <c:v>650</c:v>
                </c:pt>
                <c:pt idx="42">
                  <c:v>660</c:v>
                </c:pt>
                <c:pt idx="43">
                  <c:v>670</c:v>
                </c:pt>
                <c:pt idx="44">
                  <c:v>680</c:v>
                </c:pt>
                <c:pt idx="45">
                  <c:v>690</c:v>
                </c:pt>
                <c:pt idx="46">
                  <c:v>700</c:v>
                </c:pt>
                <c:pt idx="47">
                  <c:v>710</c:v>
                </c:pt>
                <c:pt idx="48">
                  <c:v>720</c:v>
                </c:pt>
                <c:pt idx="49">
                  <c:v>730</c:v>
                </c:pt>
                <c:pt idx="50">
                  <c:v>740</c:v>
                </c:pt>
                <c:pt idx="51">
                  <c:v>750</c:v>
                </c:pt>
                <c:pt idx="52">
                  <c:v>760</c:v>
                </c:pt>
                <c:pt idx="53">
                  <c:v>770</c:v>
                </c:pt>
                <c:pt idx="54">
                  <c:v>780</c:v>
                </c:pt>
                <c:pt idx="55">
                  <c:v>790</c:v>
                </c:pt>
                <c:pt idx="56">
                  <c:v>800</c:v>
                </c:pt>
                <c:pt idx="57">
                  <c:v>810</c:v>
                </c:pt>
                <c:pt idx="58">
                  <c:v>820</c:v>
                </c:pt>
                <c:pt idx="59">
                  <c:v>830</c:v>
                </c:pt>
                <c:pt idx="60">
                  <c:v>840</c:v>
                </c:pt>
                <c:pt idx="61">
                  <c:v>850</c:v>
                </c:pt>
                <c:pt idx="62">
                  <c:v>860</c:v>
                </c:pt>
                <c:pt idx="63">
                  <c:v>870</c:v>
                </c:pt>
                <c:pt idx="64">
                  <c:v>880</c:v>
                </c:pt>
                <c:pt idx="65">
                  <c:v>890</c:v>
                </c:pt>
                <c:pt idx="66">
                  <c:v>900</c:v>
                </c:pt>
                <c:pt idx="67">
                  <c:v>910</c:v>
                </c:pt>
                <c:pt idx="68">
                  <c:v>920</c:v>
                </c:pt>
                <c:pt idx="69">
                  <c:v>930</c:v>
                </c:pt>
                <c:pt idx="70">
                  <c:v>940</c:v>
                </c:pt>
                <c:pt idx="71">
                  <c:v>950</c:v>
                </c:pt>
                <c:pt idx="72">
                  <c:v>960</c:v>
                </c:pt>
                <c:pt idx="73">
                  <c:v>970</c:v>
                </c:pt>
                <c:pt idx="74">
                  <c:v>980</c:v>
                </c:pt>
                <c:pt idx="75">
                  <c:v>990</c:v>
                </c:pt>
                <c:pt idx="76">
                  <c:v>1000</c:v>
                </c:pt>
                <c:pt idx="77">
                  <c:v>1010</c:v>
                </c:pt>
                <c:pt idx="78">
                  <c:v>1020</c:v>
                </c:pt>
                <c:pt idx="79">
                  <c:v>1030</c:v>
                </c:pt>
                <c:pt idx="80">
                  <c:v>1040</c:v>
                </c:pt>
                <c:pt idx="81">
                  <c:v>1050</c:v>
                </c:pt>
                <c:pt idx="82">
                  <c:v>1060</c:v>
                </c:pt>
                <c:pt idx="83">
                  <c:v>1070</c:v>
                </c:pt>
                <c:pt idx="84">
                  <c:v>1080</c:v>
                </c:pt>
                <c:pt idx="85">
                  <c:v>1090</c:v>
                </c:pt>
                <c:pt idx="86">
                  <c:v>1100</c:v>
                </c:pt>
              </c:numCache>
            </c:numRef>
          </c:xVal>
          <c:yVal>
            <c:numRef>
              <c:f>'Chk1'!$C$5:$C$92</c:f>
              <c:numCache>
                <c:formatCode>0.00%</c:formatCode>
                <c:ptCount val="88"/>
                <c:pt idx="1">
                  <c:v>6.4825822346239459E-2</c:v>
                </c:pt>
                <c:pt idx="2">
                  <c:v>4.9395508487590778E-3</c:v>
                </c:pt>
                <c:pt idx="3">
                  <c:v>-5.372510547866638E-2</c:v>
                </c:pt>
                <c:pt idx="4">
                  <c:v>-5.8561472912658008E-2</c:v>
                </c:pt>
                <c:pt idx="5">
                  <c:v>-2.8348724403606695E-2</c:v>
                </c:pt>
                <c:pt idx="6">
                  <c:v>-3.3088625758285639E-2</c:v>
                </c:pt>
                <c:pt idx="7">
                  <c:v>-4.776142147316409E-2</c:v>
                </c:pt>
                <c:pt idx="8">
                  <c:v>-5.9269954001665903E-2</c:v>
                </c:pt>
                <c:pt idx="9">
                  <c:v>-6.5873051424029438E-2</c:v>
                </c:pt>
                <c:pt idx="10">
                  <c:v>-6.9170456278574433E-2</c:v>
                </c:pt>
                <c:pt idx="11">
                  <c:v>-7.3413007740986469E-2</c:v>
                </c:pt>
                <c:pt idx="12">
                  <c:v>-8.0863867193719852E-2</c:v>
                </c:pt>
                <c:pt idx="13">
                  <c:v>-8.3957887084680105E-2</c:v>
                </c:pt>
                <c:pt idx="14">
                  <c:v>-7.3348685115800283E-2</c:v>
                </c:pt>
                <c:pt idx="15">
                  <c:v>-6.0295207885278201E-2</c:v>
                </c:pt>
                <c:pt idx="16">
                  <c:v>-5.0839029042471506E-2</c:v>
                </c:pt>
                <c:pt idx="17">
                  <c:v>-4.2176767727689524E-2</c:v>
                </c:pt>
                <c:pt idx="18">
                  <c:v>-3.5904838087091995E-2</c:v>
                </c:pt>
                <c:pt idx="19">
                  <c:v>-3.1366302738805918E-2</c:v>
                </c:pt>
                <c:pt idx="20">
                  <c:v>-2.7738520080080376E-2</c:v>
                </c:pt>
                <c:pt idx="21">
                  <c:v>-2.4630148756741077E-2</c:v>
                </c:pt>
                <c:pt idx="22">
                  <c:v>-2.1872548691940663E-2</c:v>
                </c:pt>
                <c:pt idx="23">
                  <c:v>-1.9496089460911192E-2</c:v>
                </c:pt>
                <c:pt idx="24">
                  <c:v>-1.7347799563025235E-2</c:v>
                </c:pt>
                <c:pt idx="25">
                  <c:v>-1.5590829719525634E-2</c:v>
                </c:pt>
                <c:pt idx="26">
                  <c:v>-1.4003326022227203E-2</c:v>
                </c:pt>
                <c:pt idx="27">
                  <c:v>-1.267256237670733E-2</c:v>
                </c:pt>
                <c:pt idx="28">
                  <c:v>-1.1583726856901899E-2</c:v>
                </c:pt>
                <c:pt idx="29">
                  <c:v>-1.0629552443939261E-2</c:v>
                </c:pt>
                <c:pt idx="30">
                  <c:v>-9.8714380710925864E-3</c:v>
                </c:pt>
                <c:pt idx="31">
                  <c:v>-9.2310618140415412E-3</c:v>
                </c:pt>
                <c:pt idx="32">
                  <c:v>-8.7021162737253022E-3</c:v>
                </c:pt>
                <c:pt idx="33">
                  <c:v>-8.235233450815449E-3</c:v>
                </c:pt>
                <c:pt idx="34">
                  <c:v>-7.86995637392085E-3</c:v>
                </c:pt>
                <c:pt idx="35">
                  <c:v>-7.5380758404083315E-3</c:v>
                </c:pt>
                <c:pt idx="36">
                  <c:v>-7.2792500866344367E-3</c:v>
                </c:pt>
                <c:pt idx="37">
                  <c:v>-6.8866334831425569E-3</c:v>
                </c:pt>
                <c:pt idx="38">
                  <c:v>-6.6466640820268541E-3</c:v>
                </c:pt>
                <c:pt idx="39">
                  <c:v>-6.3552726663864689E-3</c:v>
                </c:pt>
                <c:pt idx="40">
                  <c:v>-6.0729872324849499E-3</c:v>
                </c:pt>
                <c:pt idx="41">
                  <c:v>-5.8566109768154462E-3</c:v>
                </c:pt>
                <c:pt idx="42">
                  <c:v>-5.6843625442198897E-3</c:v>
                </c:pt>
                <c:pt idx="43">
                  <c:v>-5.4247303405252634E-3</c:v>
                </c:pt>
                <c:pt idx="44">
                  <c:v>-5.2456662549256183E-3</c:v>
                </c:pt>
                <c:pt idx="45">
                  <c:v>-5.1077298792204795E-3</c:v>
                </c:pt>
                <c:pt idx="46">
                  <c:v>-4.9383104883706785E-3</c:v>
                </c:pt>
                <c:pt idx="47">
                  <c:v>-4.8085885988340404E-3</c:v>
                </c:pt>
                <c:pt idx="48">
                  <c:v>-4.6824700951179077E-3</c:v>
                </c:pt>
                <c:pt idx="49">
                  <c:v>-4.5767910285686719E-3</c:v>
                </c:pt>
                <c:pt idx="50">
                  <c:v>-4.4572135326591544E-3</c:v>
                </c:pt>
                <c:pt idx="51">
                  <c:v>-4.3904184462044693E-3</c:v>
                </c:pt>
                <c:pt idx="52">
                  <c:v>-4.2927537066101973E-3</c:v>
                </c:pt>
                <c:pt idx="53">
                  <c:v>-4.2459312422946649E-3</c:v>
                </c:pt>
                <c:pt idx="54">
                  <c:v>-4.2003093539874081E-3</c:v>
                </c:pt>
                <c:pt idx="55">
                  <c:v>-4.1401482488554464E-3</c:v>
                </c:pt>
                <c:pt idx="56">
                  <c:v>-4.0969891951738724E-3</c:v>
                </c:pt>
                <c:pt idx="57">
                  <c:v>-4.1008158677223738E-3</c:v>
                </c:pt>
                <c:pt idx="58">
                  <c:v>-4.0591891370711508E-3</c:v>
                </c:pt>
                <c:pt idx="59">
                  <c:v>-4.0335033144569543E-3</c:v>
                </c:pt>
                <c:pt idx="60">
                  <c:v>-4.0379491044231219E-3</c:v>
                </c:pt>
                <c:pt idx="61">
                  <c:v>-4.0277039122045277E-3</c:v>
                </c:pt>
                <c:pt idx="62">
                  <c:v>-4.0321137466164947E-3</c:v>
                </c:pt>
                <c:pt idx="63">
                  <c:v>-4.0364222055245813E-3</c:v>
                </c:pt>
                <c:pt idx="64">
                  <c:v>-4.0406327449119539E-3</c:v>
                </c:pt>
                <c:pt idx="65">
                  <c:v>-4.0586794733665776E-3</c:v>
                </c:pt>
                <c:pt idx="66">
                  <c:v>-4.1176532269365795E-3</c:v>
                </c:pt>
                <c:pt idx="67">
                  <c:v>-4.3252018536523718E-3</c:v>
                </c:pt>
                <c:pt idx="68">
                  <c:v>-5.0673002518586419E-3</c:v>
                </c:pt>
                <c:pt idx="69">
                  <c:v>-6.8333069495613019E-3</c:v>
                </c:pt>
                <c:pt idx="70">
                  <c:v>-1.0197275167682207E-2</c:v>
                </c:pt>
                <c:pt idx="71">
                  <c:v>-1.6139769390369652E-2</c:v>
                </c:pt>
                <c:pt idx="72">
                  <c:v>-2.6530378677588784E-2</c:v>
                </c:pt>
                <c:pt idx="73">
                  <c:v>-4.3826253149715555E-2</c:v>
                </c:pt>
                <c:pt idx="74">
                  <c:v>-7.0498114117639732E-2</c:v>
                </c:pt>
                <c:pt idx="75">
                  <c:v>-0.10881666652366895</c:v>
                </c:pt>
                <c:pt idx="76">
                  <c:v>-0.16112296656016767</c:v>
                </c:pt>
                <c:pt idx="77">
                  <c:v>-0.22896564256407448</c:v>
                </c:pt>
                <c:pt idx="78">
                  <c:v>-0.31322482670923057</c:v>
                </c:pt>
                <c:pt idx="79">
                  <c:v>-0.41077416226076424</c:v>
                </c:pt>
                <c:pt idx="80">
                  <c:v>-0.51503106993774894</c:v>
                </c:pt>
                <c:pt idx="81">
                  <c:v>-0.61777445248022511</c:v>
                </c:pt>
                <c:pt idx="82">
                  <c:v>-0.71354973328153681</c:v>
                </c:pt>
                <c:pt idx="83">
                  <c:v>-0.78181099920062036</c:v>
                </c:pt>
                <c:pt idx="84">
                  <c:v>-0.82906253725162982</c:v>
                </c:pt>
                <c:pt idx="85">
                  <c:v>-0.86725729320858413</c:v>
                </c:pt>
                <c:pt idx="86">
                  <c:v>-0.89810753792631492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06-4353-A39F-18504C15B904}"/>
            </c:ext>
          </c:extLst>
        </c:ser>
        <c:ser>
          <c:idx val="1"/>
          <c:order val="1"/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'Chk1'!$A$5:$A$92</c:f>
              <c:numCache>
                <c:formatCode>General</c:formatCode>
                <c:ptCount val="88"/>
                <c:pt idx="0">
                  <c:v>240</c:v>
                </c:pt>
                <c:pt idx="1">
                  <c:v>250</c:v>
                </c:pt>
                <c:pt idx="2">
                  <c:v>260</c:v>
                </c:pt>
                <c:pt idx="3">
                  <c:v>270</c:v>
                </c:pt>
                <c:pt idx="4">
                  <c:v>280</c:v>
                </c:pt>
                <c:pt idx="5">
                  <c:v>290</c:v>
                </c:pt>
                <c:pt idx="6">
                  <c:v>300</c:v>
                </c:pt>
                <c:pt idx="7">
                  <c:v>310</c:v>
                </c:pt>
                <c:pt idx="8">
                  <c:v>320</c:v>
                </c:pt>
                <c:pt idx="9">
                  <c:v>330</c:v>
                </c:pt>
                <c:pt idx="10">
                  <c:v>340</c:v>
                </c:pt>
                <c:pt idx="11">
                  <c:v>350</c:v>
                </c:pt>
                <c:pt idx="12">
                  <c:v>360</c:v>
                </c:pt>
                <c:pt idx="13">
                  <c:v>370</c:v>
                </c:pt>
                <c:pt idx="14">
                  <c:v>380</c:v>
                </c:pt>
                <c:pt idx="15">
                  <c:v>390</c:v>
                </c:pt>
                <c:pt idx="16">
                  <c:v>400</c:v>
                </c:pt>
                <c:pt idx="17">
                  <c:v>410</c:v>
                </c:pt>
                <c:pt idx="18">
                  <c:v>420</c:v>
                </c:pt>
                <c:pt idx="19">
                  <c:v>430</c:v>
                </c:pt>
                <c:pt idx="20">
                  <c:v>440</c:v>
                </c:pt>
                <c:pt idx="21">
                  <c:v>450</c:v>
                </c:pt>
                <c:pt idx="22">
                  <c:v>460</c:v>
                </c:pt>
                <c:pt idx="23">
                  <c:v>470</c:v>
                </c:pt>
                <c:pt idx="24">
                  <c:v>480</c:v>
                </c:pt>
                <c:pt idx="25">
                  <c:v>490</c:v>
                </c:pt>
                <c:pt idx="26">
                  <c:v>500</c:v>
                </c:pt>
                <c:pt idx="27">
                  <c:v>510</c:v>
                </c:pt>
                <c:pt idx="28">
                  <c:v>520</c:v>
                </c:pt>
                <c:pt idx="29">
                  <c:v>530</c:v>
                </c:pt>
                <c:pt idx="30">
                  <c:v>540</c:v>
                </c:pt>
                <c:pt idx="31">
                  <c:v>550</c:v>
                </c:pt>
                <c:pt idx="32">
                  <c:v>560</c:v>
                </c:pt>
                <c:pt idx="33">
                  <c:v>570</c:v>
                </c:pt>
                <c:pt idx="34">
                  <c:v>580</c:v>
                </c:pt>
                <c:pt idx="35">
                  <c:v>590</c:v>
                </c:pt>
                <c:pt idx="36">
                  <c:v>600</c:v>
                </c:pt>
                <c:pt idx="37">
                  <c:v>610</c:v>
                </c:pt>
                <c:pt idx="38">
                  <c:v>620</c:v>
                </c:pt>
                <c:pt idx="39">
                  <c:v>630</c:v>
                </c:pt>
                <c:pt idx="40">
                  <c:v>640</c:v>
                </c:pt>
                <c:pt idx="41">
                  <c:v>650</c:v>
                </c:pt>
                <c:pt idx="42">
                  <c:v>660</c:v>
                </c:pt>
                <c:pt idx="43">
                  <c:v>670</c:v>
                </c:pt>
                <c:pt idx="44">
                  <c:v>680</c:v>
                </c:pt>
                <c:pt idx="45">
                  <c:v>690</c:v>
                </c:pt>
                <c:pt idx="46">
                  <c:v>700</c:v>
                </c:pt>
                <c:pt idx="47">
                  <c:v>710</c:v>
                </c:pt>
                <c:pt idx="48">
                  <c:v>720</c:v>
                </c:pt>
                <c:pt idx="49">
                  <c:v>730</c:v>
                </c:pt>
                <c:pt idx="50">
                  <c:v>740</c:v>
                </c:pt>
                <c:pt idx="51">
                  <c:v>750</c:v>
                </c:pt>
                <c:pt idx="52">
                  <c:v>760</c:v>
                </c:pt>
                <c:pt idx="53">
                  <c:v>770</c:v>
                </c:pt>
                <c:pt idx="54">
                  <c:v>780</c:v>
                </c:pt>
                <c:pt idx="55">
                  <c:v>790</c:v>
                </c:pt>
                <c:pt idx="56">
                  <c:v>800</c:v>
                </c:pt>
                <c:pt idx="57">
                  <c:v>810</c:v>
                </c:pt>
                <c:pt idx="58">
                  <c:v>820</c:v>
                </c:pt>
                <c:pt idx="59">
                  <c:v>830</c:v>
                </c:pt>
                <c:pt idx="60">
                  <c:v>840</c:v>
                </c:pt>
                <c:pt idx="61">
                  <c:v>850</c:v>
                </c:pt>
                <c:pt idx="62">
                  <c:v>860</c:v>
                </c:pt>
                <c:pt idx="63">
                  <c:v>870</c:v>
                </c:pt>
                <c:pt idx="64">
                  <c:v>880</c:v>
                </c:pt>
                <c:pt idx="65">
                  <c:v>890</c:v>
                </c:pt>
                <c:pt idx="66">
                  <c:v>900</c:v>
                </c:pt>
                <c:pt idx="67">
                  <c:v>910</c:v>
                </c:pt>
                <c:pt idx="68">
                  <c:v>920</c:v>
                </c:pt>
                <c:pt idx="69">
                  <c:v>930</c:v>
                </c:pt>
                <c:pt idx="70">
                  <c:v>940</c:v>
                </c:pt>
                <c:pt idx="71">
                  <c:v>950</c:v>
                </c:pt>
                <c:pt idx="72">
                  <c:v>960</c:v>
                </c:pt>
                <c:pt idx="73">
                  <c:v>970</c:v>
                </c:pt>
                <c:pt idx="74">
                  <c:v>980</c:v>
                </c:pt>
                <c:pt idx="75">
                  <c:v>990</c:v>
                </c:pt>
                <c:pt idx="76">
                  <c:v>1000</c:v>
                </c:pt>
                <c:pt idx="77">
                  <c:v>1010</c:v>
                </c:pt>
                <c:pt idx="78">
                  <c:v>1020</c:v>
                </c:pt>
                <c:pt idx="79">
                  <c:v>1030</c:v>
                </c:pt>
                <c:pt idx="80">
                  <c:v>1040</c:v>
                </c:pt>
                <c:pt idx="81">
                  <c:v>1050</c:v>
                </c:pt>
                <c:pt idx="82">
                  <c:v>1060</c:v>
                </c:pt>
                <c:pt idx="83">
                  <c:v>1070</c:v>
                </c:pt>
                <c:pt idx="84">
                  <c:v>1080</c:v>
                </c:pt>
                <c:pt idx="85">
                  <c:v>1090</c:v>
                </c:pt>
                <c:pt idx="86">
                  <c:v>1100</c:v>
                </c:pt>
              </c:numCache>
            </c:numRef>
          </c:xVal>
          <c:yVal>
            <c:numRef>
              <c:f>'Chk1'!$D$5:$D$92</c:f>
              <c:numCache>
                <c:formatCode>0.00%</c:formatCode>
                <c:ptCount val="88"/>
                <c:pt idx="21">
                  <c:v>-0.01</c:v>
                </c:pt>
                <c:pt idx="22">
                  <c:v>-8.9999999999999993E-3</c:v>
                </c:pt>
                <c:pt idx="23">
                  <c:v>-8.0000000000000002E-3</c:v>
                </c:pt>
                <c:pt idx="24">
                  <c:v>-7.0000000000000001E-3</c:v>
                </c:pt>
                <c:pt idx="25">
                  <c:v>-6.0000000000000001E-3</c:v>
                </c:pt>
                <c:pt idx="26">
                  <c:v>-5.0000000000000001E-3</c:v>
                </c:pt>
                <c:pt idx="27">
                  <c:v>-5.0000000000000001E-3</c:v>
                </c:pt>
                <c:pt idx="28">
                  <c:v>-5.0000000000000001E-3</c:v>
                </c:pt>
                <c:pt idx="29">
                  <c:v>-5.0000000000000001E-3</c:v>
                </c:pt>
                <c:pt idx="30">
                  <c:v>-5.0000000000000001E-3</c:v>
                </c:pt>
                <c:pt idx="31">
                  <c:v>-5.0000000000000001E-3</c:v>
                </c:pt>
                <c:pt idx="32">
                  <c:v>-5.0000000000000001E-3</c:v>
                </c:pt>
                <c:pt idx="33">
                  <c:v>-5.0000000000000001E-3</c:v>
                </c:pt>
                <c:pt idx="34">
                  <c:v>-5.0000000000000001E-3</c:v>
                </c:pt>
                <c:pt idx="35">
                  <c:v>-5.0000000000000001E-3</c:v>
                </c:pt>
                <c:pt idx="36">
                  <c:v>-5.0000000000000001E-3</c:v>
                </c:pt>
                <c:pt idx="37">
                  <c:v>-5.0000000000000001E-3</c:v>
                </c:pt>
                <c:pt idx="38">
                  <c:v>-5.0000000000000001E-3</c:v>
                </c:pt>
                <c:pt idx="39">
                  <c:v>-5.0000000000000001E-3</c:v>
                </c:pt>
                <c:pt idx="40">
                  <c:v>-5.0000000000000001E-3</c:v>
                </c:pt>
                <c:pt idx="41">
                  <c:v>-5.0000000000000001E-3</c:v>
                </c:pt>
                <c:pt idx="42">
                  <c:v>-5.0000000000000001E-3</c:v>
                </c:pt>
                <c:pt idx="43">
                  <c:v>-5.0000000000000001E-3</c:v>
                </c:pt>
                <c:pt idx="44">
                  <c:v>-5.0000000000000001E-3</c:v>
                </c:pt>
                <c:pt idx="45">
                  <c:v>-5.0000000000000001E-3</c:v>
                </c:pt>
                <c:pt idx="46">
                  <c:v>-5.0000000000000001E-3</c:v>
                </c:pt>
                <c:pt idx="47">
                  <c:v>-5.0000000000000001E-3</c:v>
                </c:pt>
                <c:pt idx="48">
                  <c:v>-5.0000000000000001E-3</c:v>
                </c:pt>
                <c:pt idx="49">
                  <c:v>-5.0000000000000001E-3</c:v>
                </c:pt>
                <c:pt idx="50">
                  <c:v>-5.0000000000000001E-3</c:v>
                </c:pt>
                <c:pt idx="51">
                  <c:v>-5.0000000000000001E-3</c:v>
                </c:pt>
                <c:pt idx="52">
                  <c:v>-5.0000000000000001E-3</c:v>
                </c:pt>
                <c:pt idx="53">
                  <c:v>-5.0000000000000001E-3</c:v>
                </c:pt>
                <c:pt idx="54">
                  <c:v>-5.0000000000000001E-3</c:v>
                </c:pt>
                <c:pt idx="55">
                  <c:v>-5.0000000000000001E-3</c:v>
                </c:pt>
                <c:pt idx="56">
                  <c:v>-5.0000000000000001E-3</c:v>
                </c:pt>
                <c:pt idx="57">
                  <c:v>-5.0000000000000001E-3</c:v>
                </c:pt>
                <c:pt idx="58">
                  <c:v>-5.0000000000000001E-3</c:v>
                </c:pt>
                <c:pt idx="59">
                  <c:v>-5.0000000000000001E-3</c:v>
                </c:pt>
                <c:pt idx="60">
                  <c:v>-5.0000000000000001E-3</c:v>
                </c:pt>
                <c:pt idx="61">
                  <c:v>-5.0000000000000001E-3</c:v>
                </c:pt>
                <c:pt idx="62">
                  <c:v>-6.0000000000000001E-3</c:v>
                </c:pt>
                <c:pt idx="63">
                  <c:v>-7.0000000000000001E-3</c:v>
                </c:pt>
                <c:pt idx="64">
                  <c:v>-8.0000000000000002E-3</c:v>
                </c:pt>
                <c:pt idx="65">
                  <c:v>-8.9999999999999993E-3</c:v>
                </c:pt>
                <c:pt idx="66">
                  <c:v>-0.01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06-4353-A39F-18504C15B904}"/>
            </c:ext>
          </c:extLst>
        </c:ser>
        <c:ser>
          <c:idx val="2"/>
          <c:order val="2"/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'Chk1'!$A$5:$A$92</c:f>
              <c:numCache>
                <c:formatCode>General</c:formatCode>
                <c:ptCount val="88"/>
                <c:pt idx="0">
                  <c:v>240</c:v>
                </c:pt>
                <c:pt idx="1">
                  <c:v>250</c:v>
                </c:pt>
                <c:pt idx="2">
                  <c:v>260</c:v>
                </c:pt>
                <c:pt idx="3">
                  <c:v>270</c:v>
                </c:pt>
                <c:pt idx="4">
                  <c:v>280</c:v>
                </c:pt>
                <c:pt idx="5">
                  <c:v>290</c:v>
                </c:pt>
                <c:pt idx="6">
                  <c:v>300</c:v>
                </c:pt>
                <c:pt idx="7">
                  <c:v>310</c:v>
                </c:pt>
                <c:pt idx="8">
                  <c:v>320</c:v>
                </c:pt>
                <c:pt idx="9">
                  <c:v>330</c:v>
                </c:pt>
                <c:pt idx="10">
                  <c:v>340</c:v>
                </c:pt>
                <c:pt idx="11">
                  <c:v>350</c:v>
                </c:pt>
                <c:pt idx="12">
                  <c:v>360</c:v>
                </c:pt>
                <c:pt idx="13">
                  <c:v>370</c:v>
                </c:pt>
                <c:pt idx="14">
                  <c:v>380</c:v>
                </c:pt>
                <c:pt idx="15">
                  <c:v>390</c:v>
                </c:pt>
                <c:pt idx="16">
                  <c:v>400</c:v>
                </c:pt>
                <c:pt idx="17">
                  <c:v>410</c:v>
                </c:pt>
                <c:pt idx="18">
                  <c:v>420</c:v>
                </c:pt>
                <c:pt idx="19">
                  <c:v>430</c:v>
                </c:pt>
                <c:pt idx="20">
                  <c:v>440</c:v>
                </c:pt>
                <c:pt idx="21">
                  <c:v>450</c:v>
                </c:pt>
                <c:pt idx="22">
                  <c:v>460</c:v>
                </c:pt>
                <c:pt idx="23">
                  <c:v>470</c:v>
                </c:pt>
                <c:pt idx="24">
                  <c:v>480</c:v>
                </c:pt>
                <c:pt idx="25">
                  <c:v>490</c:v>
                </c:pt>
                <c:pt idx="26">
                  <c:v>500</c:v>
                </c:pt>
                <c:pt idx="27">
                  <c:v>510</c:v>
                </c:pt>
                <c:pt idx="28">
                  <c:v>520</c:v>
                </c:pt>
                <c:pt idx="29">
                  <c:v>530</c:v>
                </c:pt>
                <c:pt idx="30">
                  <c:v>540</c:v>
                </c:pt>
                <c:pt idx="31">
                  <c:v>550</c:v>
                </c:pt>
                <c:pt idx="32">
                  <c:v>560</c:v>
                </c:pt>
                <c:pt idx="33">
                  <c:v>570</c:v>
                </c:pt>
                <c:pt idx="34">
                  <c:v>580</c:v>
                </c:pt>
                <c:pt idx="35">
                  <c:v>590</c:v>
                </c:pt>
                <c:pt idx="36">
                  <c:v>600</c:v>
                </c:pt>
                <c:pt idx="37">
                  <c:v>610</c:v>
                </c:pt>
                <c:pt idx="38">
                  <c:v>620</c:v>
                </c:pt>
                <c:pt idx="39">
                  <c:v>630</c:v>
                </c:pt>
                <c:pt idx="40">
                  <c:v>640</c:v>
                </c:pt>
                <c:pt idx="41">
                  <c:v>650</c:v>
                </c:pt>
                <c:pt idx="42">
                  <c:v>660</c:v>
                </c:pt>
                <c:pt idx="43">
                  <c:v>670</c:v>
                </c:pt>
                <c:pt idx="44">
                  <c:v>680</c:v>
                </c:pt>
                <c:pt idx="45">
                  <c:v>690</c:v>
                </c:pt>
                <c:pt idx="46">
                  <c:v>700</c:v>
                </c:pt>
                <c:pt idx="47">
                  <c:v>710</c:v>
                </c:pt>
                <c:pt idx="48">
                  <c:v>720</c:v>
                </c:pt>
                <c:pt idx="49">
                  <c:v>730</c:v>
                </c:pt>
                <c:pt idx="50">
                  <c:v>740</c:v>
                </c:pt>
                <c:pt idx="51">
                  <c:v>750</c:v>
                </c:pt>
                <c:pt idx="52">
                  <c:v>760</c:v>
                </c:pt>
                <c:pt idx="53">
                  <c:v>770</c:v>
                </c:pt>
                <c:pt idx="54">
                  <c:v>780</c:v>
                </c:pt>
                <c:pt idx="55">
                  <c:v>790</c:v>
                </c:pt>
                <c:pt idx="56">
                  <c:v>800</c:v>
                </c:pt>
                <c:pt idx="57">
                  <c:v>810</c:v>
                </c:pt>
                <c:pt idx="58">
                  <c:v>820</c:v>
                </c:pt>
                <c:pt idx="59">
                  <c:v>830</c:v>
                </c:pt>
                <c:pt idx="60">
                  <c:v>840</c:v>
                </c:pt>
                <c:pt idx="61">
                  <c:v>850</c:v>
                </c:pt>
                <c:pt idx="62">
                  <c:v>860</c:v>
                </c:pt>
                <c:pt idx="63">
                  <c:v>870</c:v>
                </c:pt>
                <c:pt idx="64">
                  <c:v>880</c:v>
                </c:pt>
                <c:pt idx="65">
                  <c:v>890</c:v>
                </c:pt>
                <c:pt idx="66">
                  <c:v>900</c:v>
                </c:pt>
                <c:pt idx="67">
                  <c:v>910</c:v>
                </c:pt>
                <c:pt idx="68">
                  <c:v>920</c:v>
                </c:pt>
                <c:pt idx="69">
                  <c:v>930</c:v>
                </c:pt>
                <c:pt idx="70">
                  <c:v>940</c:v>
                </c:pt>
                <c:pt idx="71">
                  <c:v>950</c:v>
                </c:pt>
                <c:pt idx="72">
                  <c:v>960</c:v>
                </c:pt>
                <c:pt idx="73">
                  <c:v>970</c:v>
                </c:pt>
                <c:pt idx="74">
                  <c:v>980</c:v>
                </c:pt>
                <c:pt idx="75">
                  <c:v>990</c:v>
                </c:pt>
                <c:pt idx="76">
                  <c:v>1000</c:v>
                </c:pt>
                <c:pt idx="77">
                  <c:v>1010</c:v>
                </c:pt>
                <c:pt idx="78">
                  <c:v>1020</c:v>
                </c:pt>
                <c:pt idx="79">
                  <c:v>1030</c:v>
                </c:pt>
                <c:pt idx="80">
                  <c:v>1040</c:v>
                </c:pt>
                <c:pt idx="81">
                  <c:v>1050</c:v>
                </c:pt>
                <c:pt idx="82">
                  <c:v>1060</c:v>
                </c:pt>
                <c:pt idx="83">
                  <c:v>1070</c:v>
                </c:pt>
                <c:pt idx="84">
                  <c:v>1080</c:v>
                </c:pt>
                <c:pt idx="85">
                  <c:v>1090</c:v>
                </c:pt>
                <c:pt idx="86">
                  <c:v>1100</c:v>
                </c:pt>
              </c:numCache>
            </c:numRef>
          </c:xVal>
          <c:yVal>
            <c:numRef>
              <c:f>'Chk1'!$E$5:$E$92</c:f>
              <c:numCache>
                <c:formatCode>General</c:formatCode>
                <c:ptCount val="88"/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06-4353-A39F-18504C15B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623744"/>
        <c:axId val="106625664"/>
      </c:scatterChart>
      <c:valAx>
        <c:axId val="106623744"/>
        <c:scaling>
          <c:orientation val="minMax"/>
          <c:max val="950"/>
          <c:min val="45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CH"/>
                  <a:t>wl / nm</a:t>
                </a:r>
              </a:p>
            </c:rich>
          </c:tx>
          <c:layout>
            <c:manualLayout>
              <c:xMode val="edge"/>
              <c:yMode val="edge"/>
              <c:x val="0.51409978308026028"/>
              <c:y val="0.885350318471337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06625664"/>
        <c:crossesAt val="-0.01"/>
        <c:crossBetween val="midCat"/>
        <c:majorUnit val="50"/>
      </c:valAx>
      <c:valAx>
        <c:axId val="106625664"/>
        <c:scaling>
          <c:orientation val="minMax"/>
          <c:max val="0.01"/>
          <c:min val="-0.0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CH"/>
                  <a:t>deviation to ideal QED</a:t>
                </a:r>
              </a:p>
            </c:rich>
          </c:tx>
          <c:layout>
            <c:manualLayout>
              <c:xMode val="edge"/>
              <c:yMode val="edge"/>
              <c:x val="3.4707158351409979E-2"/>
              <c:y val="0.24840764331210191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06623744"/>
        <c:crosses val="autoZero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400050</xdr:colOff>
      <xdr:row>21</xdr:row>
      <xdr:rowOff>123825</xdr:rowOff>
    </xdr:from>
    <xdr:to>
      <xdr:col>13</xdr:col>
      <xdr:colOff>638175</xdr:colOff>
      <xdr:row>50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161925</xdr:colOff>
      <xdr:row>3</xdr:row>
      <xdr:rowOff>9525</xdr:rowOff>
    </xdr:from>
    <xdr:to>
      <xdr:col>9</xdr:col>
      <xdr:colOff>742950</xdr:colOff>
      <xdr:row>21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OPTIK/Messpl&#228;tze/116.31%20Spektrale%20Empf&#228;nger-Kalibrierung/Result/2013/Metas_Trap(6425)_M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mon"/>
      <sheetName val="DUT"/>
      <sheetName val="Ref1"/>
      <sheetName val="Ref2"/>
      <sheetName val="Ref3"/>
      <sheetName val="Measure"/>
      <sheetName val="Eval"/>
      <sheetName val="Results"/>
      <sheetName val="Chk1"/>
      <sheetName val="Chk2"/>
      <sheetName val="Chk3"/>
      <sheetName val="Chk4"/>
      <sheetName val="Chk5"/>
      <sheetName val="Chk6"/>
      <sheetName val="sum"/>
      <sheetName val="Table"/>
    </sheetNames>
    <sheetDataSet>
      <sheetData sheetId="0"/>
      <sheetData sheetId="1">
        <row r="2">
          <cell r="B2" t="str">
            <v>rel sensitivity wavelength</v>
          </cell>
        </row>
        <row r="3">
          <cell r="B3" t="str">
            <v>Si-cell</v>
          </cell>
          <cell r="C3" t="str">
            <v>Trap</v>
          </cell>
          <cell r="H3" t="str">
            <v>correction</v>
          </cell>
          <cell r="I3" t="str">
            <v>U(correction)</v>
          </cell>
        </row>
        <row r="4">
          <cell r="B4" t="str">
            <v>A/W nm^-1</v>
          </cell>
          <cell r="C4" t="str">
            <v>A/W nm^-1</v>
          </cell>
          <cell r="F4" t="str">
            <v>Range</v>
          </cell>
          <cell r="G4" t="str">
            <v>Preamp</v>
          </cell>
          <cell r="H4" t="str">
            <v>ppm</v>
          </cell>
          <cell r="I4" t="str">
            <v>ppm</v>
          </cell>
        </row>
        <row r="5">
          <cell r="B5">
            <v>-1.7829867124215173E-5</v>
          </cell>
          <cell r="C5">
            <v>0</v>
          </cell>
          <cell r="F5">
            <v>1</v>
          </cell>
          <cell r="G5">
            <v>1</v>
          </cell>
          <cell r="H5">
            <v>0</v>
          </cell>
          <cell r="I5">
            <v>0</v>
          </cell>
        </row>
        <row r="6">
          <cell r="B6">
            <v>-1.2144644299517653E-5</v>
          </cell>
          <cell r="C6">
            <v>0</v>
          </cell>
          <cell r="F6">
            <v>1</v>
          </cell>
          <cell r="G6">
            <v>1</v>
          </cell>
          <cell r="H6">
            <v>0</v>
          </cell>
          <cell r="I6">
            <v>0</v>
          </cell>
        </row>
        <row r="7">
          <cell r="B7">
            <v>-6.5448905808679122E-6</v>
          </cell>
          <cell r="C7">
            <v>0</v>
          </cell>
          <cell r="F7">
            <v>1</v>
          </cell>
          <cell r="G7">
            <v>1</v>
          </cell>
          <cell r="H7">
            <v>0</v>
          </cell>
          <cell r="I7">
            <v>0</v>
          </cell>
        </row>
        <row r="8">
          <cell r="B8">
            <v>-1.1744983058024551E-6</v>
          </cell>
          <cell r="C8">
            <v>0</v>
          </cell>
          <cell r="F8">
            <v>1</v>
          </cell>
          <cell r="G8">
            <v>1</v>
          </cell>
          <cell r="H8">
            <v>0</v>
          </cell>
          <cell r="I8">
            <v>0</v>
          </cell>
        </row>
        <row r="9">
          <cell r="B9">
            <v>4.2048115739151135E-6</v>
          </cell>
          <cell r="C9">
            <v>0</v>
          </cell>
          <cell r="F9">
            <v>1</v>
          </cell>
          <cell r="G9">
            <v>1</v>
          </cell>
          <cell r="H9">
            <v>0</v>
          </cell>
          <cell r="I9">
            <v>0</v>
          </cell>
        </row>
        <row r="10">
          <cell r="B10">
            <v>1.0247033789031898E-5</v>
          </cell>
          <cell r="C10">
            <v>0</v>
          </cell>
          <cell r="F10">
            <v>1</v>
          </cell>
          <cell r="G10">
            <v>1</v>
          </cell>
          <cell r="H10">
            <v>0</v>
          </cell>
          <cell r="I10">
            <v>0</v>
          </cell>
        </row>
        <row r="11">
          <cell r="B11">
            <v>1.648105189571457E-5</v>
          </cell>
          <cell r="C11">
            <v>0</v>
          </cell>
          <cell r="F11">
            <v>10000000</v>
          </cell>
          <cell r="G11">
            <v>100</v>
          </cell>
          <cell r="H11">
            <v>1204.375</v>
          </cell>
          <cell r="I11">
            <v>134.71848955719267</v>
          </cell>
        </row>
        <row r="12">
          <cell r="B12">
            <v>2.2802995072114828E-5</v>
          </cell>
          <cell r="C12">
            <v>0</v>
          </cell>
          <cell r="F12">
            <v>10000000</v>
          </cell>
          <cell r="G12">
            <v>100</v>
          </cell>
          <cell r="H12">
            <v>1204.375</v>
          </cell>
          <cell r="I12">
            <v>134.71848955719267</v>
          </cell>
        </row>
        <row r="13">
          <cell r="B13">
            <v>2.941027885108653E-5</v>
          </cell>
          <cell r="C13">
            <v>0</v>
          </cell>
          <cell r="F13">
            <v>10000000</v>
          </cell>
          <cell r="G13">
            <v>100</v>
          </cell>
          <cell r="H13">
            <v>1204.375</v>
          </cell>
          <cell r="I13">
            <v>134.71848955719267</v>
          </cell>
        </row>
        <row r="14">
          <cell r="B14">
            <v>3.6405974999935742E-5</v>
          </cell>
          <cell r="C14">
            <v>0</v>
          </cell>
          <cell r="F14">
            <v>10000000</v>
          </cell>
          <cell r="G14">
            <v>100</v>
          </cell>
          <cell r="H14">
            <v>1204.375</v>
          </cell>
          <cell r="I14">
            <v>134.71848955719267</v>
          </cell>
        </row>
        <row r="15">
          <cell r="B15">
            <v>4.3807569818412455E-5</v>
          </cell>
          <cell r="C15">
            <v>0</v>
          </cell>
          <cell r="F15">
            <v>10000000</v>
          </cell>
          <cell r="G15">
            <v>100</v>
          </cell>
          <cell r="H15">
            <v>1204.375</v>
          </cell>
          <cell r="I15">
            <v>134.71848955719267</v>
          </cell>
        </row>
        <row r="16">
          <cell r="B16">
            <v>5.1508032114974826E-5</v>
          </cell>
          <cell r="C16">
            <v>0</v>
          </cell>
          <cell r="F16">
            <v>10000000</v>
          </cell>
          <cell r="G16">
            <v>100</v>
          </cell>
          <cell r="H16">
            <v>1204.375</v>
          </cell>
          <cell r="I16">
            <v>134.71848955719267</v>
          </cell>
        </row>
        <row r="17">
          <cell r="B17">
            <v>5.9247386798045474E-5</v>
          </cell>
          <cell r="C17">
            <v>0</v>
          </cell>
          <cell r="F17">
            <v>10000000</v>
          </cell>
          <cell r="G17">
            <v>100</v>
          </cell>
          <cell r="H17">
            <v>1204.375</v>
          </cell>
          <cell r="I17">
            <v>134.71848955719267</v>
          </cell>
        </row>
        <row r="18">
          <cell r="B18">
            <v>6.7623122417187118E-5</v>
          </cell>
          <cell r="C18">
            <v>0</v>
          </cell>
          <cell r="F18">
            <v>10000000</v>
          </cell>
          <cell r="G18">
            <v>100</v>
          </cell>
          <cell r="H18">
            <v>1204.375</v>
          </cell>
          <cell r="I18">
            <v>134.71848955719267</v>
          </cell>
        </row>
        <row r="19">
          <cell r="B19">
            <v>7.7226536550752771E-5</v>
          </cell>
          <cell r="C19">
            <v>0</v>
          </cell>
          <cell r="F19">
            <v>10000000</v>
          </cell>
          <cell r="G19">
            <v>10</v>
          </cell>
          <cell r="H19">
            <v>1245.375</v>
          </cell>
          <cell r="I19">
            <v>71.77295551150965</v>
          </cell>
        </row>
        <row r="20">
          <cell r="B20">
            <v>8.764502111895155E-5</v>
          </cell>
          <cell r="C20">
            <v>0</v>
          </cell>
          <cell r="F20">
            <v>10000000</v>
          </cell>
          <cell r="G20">
            <v>10</v>
          </cell>
          <cell r="H20">
            <v>1245.375</v>
          </cell>
          <cell r="I20">
            <v>71.77295551150965</v>
          </cell>
        </row>
        <row r="21">
          <cell r="B21">
            <v>9.7887308911412217E-5</v>
          </cell>
          <cell r="C21">
            <v>0</v>
          </cell>
          <cell r="F21">
            <v>10000000</v>
          </cell>
          <cell r="G21">
            <v>10</v>
          </cell>
          <cell r="H21">
            <v>1245.375</v>
          </cell>
          <cell r="I21">
            <v>71.77295551150965</v>
          </cell>
        </row>
        <row r="22">
          <cell r="B22">
            <v>1.0859028453391783E-4</v>
          </cell>
          <cell r="C22">
            <v>0</v>
          </cell>
          <cell r="F22">
            <v>10000000</v>
          </cell>
          <cell r="G22">
            <v>10</v>
          </cell>
          <cell r="H22">
            <v>1245.375</v>
          </cell>
          <cell r="I22">
            <v>71.77295551150965</v>
          </cell>
        </row>
        <row r="23">
          <cell r="B23">
            <v>1.1973476334793956E-4</v>
          </cell>
          <cell r="C23">
            <v>0</v>
          </cell>
          <cell r="F23">
            <v>10000000</v>
          </cell>
          <cell r="G23">
            <v>10</v>
          </cell>
          <cell r="H23">
            <v>1245.375</v>
          </cell>
          <cell r="I23">
            <v>71.77295551150965</v>
          </cell>
        </row>
        <row r="24">
          <cell r="B24">
            <v>1.3125649212647212E-4</v>
          </cell>
          <cell r="C24">
            <v>0</v>
          </cell>
          <cell r="F24">
            <v>10000000</v>
          </cell>
          <cell r="G24">
            <v>10</v>
          </cell>
          <cell r="H24">
            <v>1245.375</v>
          </cell>
          <cell r="I24">
            <v>71.77295551150965</v>
          </cell>
        </row>
        <row r="25">
          <cell r="B25">
            <v>1.431022564656973E-4</v>
          </cell>
          <cell r="C25">
            <v>0</v>
          </cell>
          <cell r="F25">
            <v>10000000</v>
          </cell>
          <cell r="G25">
            <v>10</v>
          </cell>
          <cell r="H25">
            <v>1245.375</v>
          </cell>
          <cell r="I25">
            <v>71.77295551150965</v>
          </cell>
        </row>
        <row r="26">
          <cell r="B26">
            <v>1.5532490545114224E-4</v>
          </cell>
          <cell r="C26">
            <v>0</v>
          </cell>
          <cell r="F26">
            <v>10000000</v>
          </cell>
          <cell r="G26">
            <v>10</v>
          </cell>
          <cell r="H26">
            <v>1245.375</v>
          </cell>
          <cell r="I26">
            <v>71.77295551150965</v>
          </cell>
        </row>
        <row r="27">
          <cell r="B27">
            <v>1.6845699981612484E-4</v>
          </cell>
          <cell r="C27">
            <v>0</v>
          </cell>
          <cell r="F27">
            <v>10000000</v>
          </cell>
          <cell r="G27">
            <v>10</v>
          </cell>
          <cell r="H27">
            <v>1245.375</v>
          </cell>
          <cell r="I27">
            <v>71.77295551150965</v>
          </cell>
        </row>
        <row r="28">
          <cell r="B28">
            <v>1.8143373553212769E-4</v>
          </cell>
          <cell r="C28">
            <v>0</v>
          </cell>
          <cell r="F28">
            <v>10000000</v>
          </cell>
          <cell r="G28">
            <v>10</v>
          </cell>
          <cell r="H28">
            <v>1245.375</v>
          </cell>
          <cell r="I28">
            <v>71.77295551150965</v>
          </cell>
        </row>
        <row r="29">
          <cell r="B29">
            <v>1.5379385684039971E-4</v>
          </cell>
          <cell r="C29">
            <v>0</v>
          </cell>
          <cell r="F29">
            <v>1000000</v>
          </cell>
          <cell r="G29">
            <v>10</v>
          </cell>
          <cell r="H29">
            <v>1197.25</v>
          </cell>
          <cell r="I29">
            <v>60.575808466982686</v>
          </cell>
        </row>
        <row r="30">
          <cell r="B30">
            <v>1.4760518045220185E-4</v>
          </cell>
          <cell r="C30">
            <v>0</v>
          </cell>
          <cell r="F30">
            <v>1000000</v>
          </cell>
          <cell r="G30">
            <v>10</v>
          </cell>
          <cell r="H30">
            <v>1197.25</v>
          </cell>
          <cell r="I30">
            <v>60.575808466982686</v>
          </cell>
        </row>
        <row r="31">
          <cell r="B31">
            <v>1.349443850337778E-4</v>
          </cell>
          <cell r="C31">
            <v>0</v>
          </cell>
          <cell r="F31">
            <v>1000000</v>
          </cell>
          <cell r="G31">
            <v>10</v>
          </cell>
          <cell r="H31">
            <v>1197.25</v>
          </cell>
          <cell r="I31">
            <v>60.575808466982686</v>
          </cell>
        </row>
        <row r="32">
          <cell r="B32">
            <v>1.1206477941709951E-4</v>
          </cell>
          <cell r="C32">
            <v>0</v>
          </cell>
          <cell r="F32">
            <v>1000000</v>
          </cell>
          <cell r="G32">
            <v>10</v>
          </cell>
          <cell r="H32">
            <v>1197.25</v>
          </cell>
          <cell r="I32">
            <v>60.575808466982686</v>
          </cell>
        </row>
        <row r="33">
          <cell r="B33">
            <v>1.1048322808271929E-4</v>
          </cell>
          <cell r="C33">
            <v>0</v>
          </cell>
          <cell r="F33">
            <v>1000000</v>
          </cell>
          <cell r="G33">
            <v>10</v>
          </cell>
          <cell r="H33">
            <v>1197.25</v>
          </cell>
          <cell r="I33">
            <v>60.575808466982686</v>
          </cell>
        </row>
        <row r="34">
          <cell r="B34">
            <v>9.7175372826337718E-5</v>
          </cell>
          <cell r="C34">
            <v>0</v>
          </cell>
          <cell r="F34">
            <v>1000000</v>
          </cell>
          <cell r="G34">
            <v>10</v>
          </cell>
          <cell r="H34">
            <v>1197.25</v>
          </cell>
          <cell r="I34">
            <v>60.575808466982686</v>
          </cell>
        </row>
        <row r="35">
          <cell r="B35">
            <v>8.6113452102581169E-5</v>
          </cell>
          <cell r="C35">
            <v>0</v>
          </cell>
          <cell r="F35">
            <v>1000000</v>
          </cell>
          <cell r="G35">
            <v>10</v>
          </cell>
          <cell r="H35">
            <v>1197.25</v>
          </cell>
          <cell r="I35">
            <v>60.575808466982686</v>
          </cell>
        </row>
        <row r="36">
          <cell r="B36">
            <v>7.5914184284550109E-5</v>
          </cell>
          <cell r="C36">
            <v>0</v>
          </cell>
          <cell r="F36">
            <v>1000000</v>
          </cell>
          <cell r="G36">
            <v>10</v>
          </cell>
          <cell r="H36">
            <v>1197.25</v>
          </cell>
          <cell r="I36">
            <v>60.575808466982686</v>
          </cell>
        </row>
        <row r="37">
          <cell r="B37">
            <v>7.0497582715741558E-5</v>
          </cell>
          <cell r="C37">
            <v>0</v>
          </cell>
          <cell r="F37">
            <v>1000000</v>
          </cell>
          <cell r="G37">
            <v>10</v>
          </cell>
          <cell r="H37">
            <v>1197.25</v>
          </cell>
          <cell r="I37">
            <v>60.575808466982686</v>
          </cell>
        </row>
        <row r="38">
          <cell r="B38">
            <v>6.4996984878885612E-5</v>
          </cell>
          <cell r="C38">
            <v>0</v>
          </cell>
          <cell r="F38">
            <v>1000000</v>
          </cell>
          <cell r="G38">
            <v>10</v>
          </cell>
          <cell r="H38">
            <v>1197.25</v>
          </cell>
          <cell r="I38">
            <v>60.575808466982686</v>
          </cell>
        </row>
        <row r="39">
          <cell r="B39">
            <v>4.9810826887088497E-5</v>
          </cell>
          <cell r="C39">
            <v>0</v>
          </cell>
          <cell r="F39">
            <v>1000000</v>
          </cell>
          <cell r="G39">
            <v>10</v>
          </cell>
          <cell r="H39">
            <v>1197.25</v>
          </cell>
          <cell r="I39">
            <v>60.575808466982686</v>
          </cell>
        </row>
        <row r="40">
          <cell r="B40">
            <v>2.5166736016485917E-5</v>
          </cell>
          <cell r="C40">
            <v>0</v>
          </cell>
          <cell r="F40">
            <v>1000000</v>
          </cell>
          <cell r="G40">
            <v>10</v>
          </cell>
          <cell r="H40">
            <v>1197.25</v>
          </cell>
          <cell r="I40">
            <v>60.575808466982686</v>
          </cell>
        </row>
        <row r="41">
          <cell r="B41">
            <v>1.8331746720315184E-5</v>
          </cell>
          <cell r="C41">
            <v>0</v>
          </cell>
          <cell r="F41">
            <v>1000000</v>
          </cell>
          <cell r="G41">
            <v>10</v>
          </cell>
          <cell r="H41">
            <v>1197.25</v>
          </cell>
          <cell r="I41">
            <v>60.575808466982686</v>
          </cell>
        </row>
        <row r="42">
          <cell r="B42">
            <v>1.3893161534898959E-5</v>
          </cell>
          <cell r="C42">
            <v>0</v>
          </cell>
          <cell r="F42">
            <v>1000000</v>
          </cell>
          <cell r="G42">
            <v>10</v>
          </cell>
          <cell r="H42">
            <v>1197.25</v>
          </cell>
          <cell r="I42">
            <v>60.575808466982686</v>
          </cell>
        </row>
        <row r="43">
          <cell r="B43">
            <v>-6.4150529124251124E-6</v>
          </cell>
          <cell r="C43">
            <v>0</v>
          </cell>
          <cell r="F43">
            <v>1000000</v>
          </cell>
          <cell r="G43">
            <v>10</v>
          </cell>
          <cell r="H43">
            <v>1197.25</v>
          </cell>
          <cell r="I43">
            <v>60.575808466982686</v>
          </cell>
        </row>
        <row r="44">
          <cell r="B44">
            <v>-3.3899159957789759E-5</v>
          </cell>
          <cell r="C44">
            <v>0</v>
          </cell>
          <cell r="F44">
            <v>1000000</v>
          </cell>
          <cell r="G44">
            <v>10</v>
          </cell>
          <cell r="H44">
            <v>1197.25</v>
          </cell>
          <cell r="I44">
            <v>60.575808466982686</v>
          </cell>
        </row>
        <row r="45">
          <cell r="B45">
            <v>-7.2277016123170439E-5</v>
          </cell>
          <cell r="C45">
            <v>0</v>
          </cell>
          <cell r="F45">
            <v>1000000</v>
          </cell>
          <cell r="G45">
            <v>10</v>
          </cell>
          <cell r="H45">
            <v>1197.25</v>
          </cell>
          <cell r="I45">
            <v>60.575808466982686</v>
          </cell>
        </row>
        <row r="46">
          <cell r="B46">
            <v>-1.067610619242609E-4</v>
          </cell>
          <cell r="C46">
            <v>0</v>
          </cell>
          <cell r="F46">
            <v>1000000</v>
          </cell>
          <cell r="G46">
            <v>10</v>
          </cell>
          <cell r="H46">
            <v>1197.25</v>
          </cell>
          <cell r="I46">
            <v>60.575808466982686</v>
          </cell>
        </row>
        <row r="47">
          <cell r="B47">
            <v>-1.316554064502989E-4</v>
          </cell>
          <cell r="C47">
            <v>0</v>
          </cell>
          <cell r="F47">
            <v>1000000</v>
          </cell>
          <cell r="G47">
            <v>10</v>
          </cell>
          <cell r="H47">
            <v>1197.25</v>
          </cell>
          <cell r="I47">
            <v>60.575808466982686</v>
          </cell>
        </row>
        <row r="48">
          <cell r="B48">
            <v>-1.6793515278882784E-4</v>
          </cell>
          <cell r="C48">
            <v>0</v>
          </cell>
          <cell r="F48">
            <v>1000000</v>
          </cell>
          <cell r="G48">
            <v>10</v>
          </cell>
          <cell r="H48">
            <v>1197.25</v>
          </cell>
          <cell r="I48">
            <v>60.575808466982686</v>
          </cell>
        </row>
        <row r="49">
          <cell r="B49">
            <v>-2.2533443469915107E-4</v>
          </cell>
          <cell r="C49">
            <v>0</v>
          </cell>
          <cell r="F49">
            <v>1000000</v>
          </cell>
          <cell r="G49">
            <v>10</v>
          </cell>
          <cell r="H49">
            <v>1197.25</v>
          </cell>
          <cell r="I49">
            <v>60.575808466982686</v>
          </cell>
        </row>
        <row r="50">
          <cell r="B50">
            <v>-2.77449308532967E-4</v>
          </cell>
          <cell r="C50">
            <v>0</v>
          </cell>
          <cell r="F50">
            <v>1000000</v>
          </cell>
          <cell r="G50">
            <v>10</v>
          </cell>
          <cell r="H50">
            <v>1197.25</v>
          </cell>
          <cell r="I50">
            <v>60.575808466982686</v>
          </cell>
        </row>
        <row r="51">
          <cell r="B51">
            <v>-3.3666320088296728E-4</v>
          </cell>
          <cell r="C51">
            <v>0</v>
          </cell>
          <cell r="F51">
            <v>1000000</v>
          </cell>
          <cell r="G51">
            <v>10</v>
          </cell>
          <cell r="H51">
            <v>1197.25</v>
          </cell>
          <cell r="I51">
            <v>60.575808466982686</v>
          </cell>
        </row>
        <row r="52">
          <cell r="B52">
            <v>-4.159398796633285E-4</v>
          </cell>
          <cell r="C52">
            <v>0</v>
          </cell>
          <cell r="F52">
            <v>1000000</v>
          </cell>
          <cell r="G52">
            <v>10</v>
          </cell>
          <cell r="H52">
            <v>1197.25</v>
          </cell>
          <cell r="I52">
            <v>60.575808466982686</v>
          </cell>
        </row>
        <row r="53">
          <cell r="B53">
            <v>-4.6706634783247677E-4</v>
          </cell>
          <cell r="C53">
            <v>0</v>
          </cell>
          <cell r="F53">
            <v>1000000</v>
          </cell>
          <cell r="G53">
            <v>10</v>
          </cell>
          <cell r="H53">
            <v>1197.25</v>
          </cell>
          <cell r="I53">
            <v>60.575808466982686</v>
          </cell>
        </row>
        <row r="54">
          <cell r="B54">
            <v>-5.3740173102837451E-4</v>
          </cell>
          <cell r="C54">
            <v>0</v>
          </cell>
          <cell r="F54">
            <v>1000000</v>
          </cell>
          <cell r="G54">
            <v>10</v>
          </cell>
          <cell r="H54">
            <v>1197.25</v>
          </cell>
          <cell r="I54">
            <v>60.575808466982686</v>
          </cell>
        </row>
        <row r="55">
          <cell r="B55">
            <v>-6.3452500028712952E-4</v>
          </cell>
          <cell r="C55">
            <v>0</v>
          </cell>
          <cell r="F55">
            <v>1000000</v>
          </cell>
          <cell r="G55">
            <v>10</v>
          </cell>
          <cell r="H55">
            <v>1197.25</v>
          </cell>
          <cell r="I55">
            <v>60.575808466982686</v>
          </cell>
        </row>
        <row r="56">
          <cell r="B56">
            <v>-6.9037538364258289E-4</v>
          </cell>
          <cell r="C56">
            <v>0</v>
          </cell>
          <cell r="F56">
            <v>1000000</v>
          </cell>
          <cell r="G56">
            <v>10</v>
          </cell>
          <cell r="H56">
            <v>1197.25</v>
          </cell>
          <cell r="I56">
            <v>60.575808466982686</v>
          </cell>
        </row>
        <row r="57">
          <cell r="B57">
            <v>-7.8267433772721742E-4</v>
          </cell>
          <cell r="C57">
            <v>0</v>
          </cell>
          <cell r="F57">
            <v>1000000</v>
          </cell>
          <cell r="G57">
            <v>10</v>
          </cell>
          <cell r="H57">
            <v>1197.25</v>
          </cell>
          <cell r="I57">
            <v>60.575808466982686</v>
          </cell>
        </row>
        <row r="58">
          <cell r="B58">
            <v>-8.8184756856737184E-4</v>
          </cell>
          <cell r="C58">
            <v>0</v>
          </cell>
          <cell r="F58">
            <v>1000000</v>
          </cell>
          <cell r="G58">
            <v>10</v>
          </cell>
          <cell r="H58">
            <v>1197.25</v>
          </cell>
          <cell r="I58">
            <v>60.575808466982686</v>
          </cell>
        </row>
        <row r="59">
          <cell r="B59">
            <v>-9.5515217608897122E-4</v>
          </cell>
          <cell r="C59">
            <v>0</v>
          </cell>
          <cell r="F59">
            <v>1000000</v>
          </cell>
          <cell r="G59">
            <v>10</v>
          </cell>
          <cell r="H59">
            <v>1197.25</v>
          </cell>
          <cell r="I59">
            <v>60.575808466982686</v>
          </cell>
        </row>
        <row r="60">
          <cell r="B60">
            <v>-1.0546699682455779E-3</v>
          </cell>
          <cell r="C60">
            <v>0</v>
          </cell>
          <cell r="F60">
            <v>1000000</v>
          </cell>
          <cell r="G60">
            <v>10</v>
          </cell>
          <cell r="H60">
            <v>1197.25</v>
          </cell>
          <cell r="I60">
            <v>60.575808466982686</v>
          </cell>
        </row>
        <row r="61">
          <cell r="B61">
            <v>-1.1673856840852159E-3</v>
          </cell>
          <cell r="C61">
            <v>0</v>
          </cell>
          <cell r="F61">
            <v>1000000</v>
          </cell>
          <cell r="G61">
            <v>10</v>
          </cell>
          <cell r="H61">
            <v>1197.25</v>
          </cell>
          <cell r="I61">
            <v>60.575808466982686</v>
          </cell>
        </row>
        <row r="62">
          <cell r="B62">
            <v>-1.2326638427596457E-3</v>
          </cell>
          <cell r="C62">
            <v>0</v>
          </cell>
          <cell r="F62">
            <v>1000000</v>
          </cell>
          <cell r="G62">
            <v>10</v>
          </cell>
          <cell r="H62">
            <v>1197.25</v>
          </cell>
          <cell r="I62">
            <v>60.575808466982686</v>
          </cell>
        </row>
        <row r="63">
          <cell r="B63">
            <v>-1.3222709245010475E-3</v>
          </cell>
          <cell r="C63">
            <v>0</v>
          </cell>
          <cell r="F63">
            <v>1000000</v>
          </cell>
          <cell r="G63">
            <v>10</v>
          </cell>
          <cell r="H63">
            <v>1197.25</v>
          </cell>
          <cell r="I63">
            <v>60.575808466982686</v>
          </cell>
        </row>
        <row r="64">
          <cell r="B64">
            <v>-1.4258643714822696E-3</v>
          </cell>
          <cell r="C64">
            <v>0</v>
          </cell>
          <cell r="F64">
            <v>1000000</v>
          </cell>
          <cell r="G64">
            <v>10</v>
          </cell>
          <cell r="H64">
            <v>1197.25</v>
          </cell>
          <cell r="I64">
            <v>60.575808466982686</v>
          </cell>
        </row>
        <row r="65">
          <cell r="B65">
            <v>-1.509567417054362E-3</v>
          </cell>
          <cell r="C65">
            <v>0</v>
          </cell>
          <cell r="F65">
            <v>1000000</v>
          </cell>
          <cell r="G65">
            <v>10</v>
          </cell>
          <cell r="H65">
            <v>1197.25</v>
          </cell>
          <cell r="I65">
            <v>60.575808466982686</v>
          </cell>
        </row>
        <row r="66">
          <cell r="B66">
            <v>-1.6036486190017121E-3</v>
          </cell>
          <cell r="C66">
            <v>0</v>
          </cell>
          <cell r="F66">
            <v>1000000</v>
          </cell>
          <cell r="G66">
            <v>10</v>
          </cell>
          <cell r="H66">
            <v>1197.25</v>
          </cell>
          <cell r="I66">
            <v>60.575808466982686</v>
          </cell>
        </row>
        <row r="67">
          <cell r="B67">
            <v>-1.6507735879269451E-3</v>
          </cell>
          <cell r="C67">
            <v>0</v>
          </cell>
          <cell r="F67">
            <v>1000000</v>
          </cell>
          <cell r="G67">
            <v>10</v>
          </cell>
          <cell r="H67">
            <v>1197.25</v>
          </cell>
          <cell r="I67">
            <v>60.575808466982686</v>
          </cell>
        </row>
        <row r="68">
          <cell r="B68">
            <v>-1.7106630234627262E-3</v>
          </cell>
          <cell r="C68">
            <v>0</v>
          </cell>
          <cell r="F68">
            <v>1000000</v>
          </cell>
          <cell r="G68">
            <v>10</v>
          </cell>
          <cell r="H68">
            <v>1197.25</v>
          </cell>
          <cell r="I68">
            <v>60.575808466982686</v>
          </cell>
        </row>
        <row r="69">
          <cell r="B69">
            <v>-1.7812163582670982E-3</v>
          </cell>
          <cell r="C69">
            <v>0</v>
          </cell>
          <cell r="F69">
            <v>1000000</v>
          </cell>
          <cell r="G69">
            <v>10</v>
          </cell>
          <cell r="H69">
            <v>1197.25</v>
          </cell>
          <cell r="I69">
            <v>60.575808466982686</v>
          </cell>
        </row>
        <row r="70">
          <cell r="B70">
            <v>-1.8227341009865762E-3</v>
          </cell>
          <cell r="C70">
            <v>0</v>
          </cell>
          <cell r="F70">
            <v>1000000</v>
          </cell>
          <cell r="G70">
            <v>10</v>
          </cell>
          <cell r="H70">
            <v>1197.25</v>
          </cell>
          <cell r="I70">
            <v>60.575808466982686</v>
          </cell>
        </row>
        <row r="71">
          <cell r="B71">
            <v>-1.8523633916794511E-3</v>
          </cell>
          <cell r="C71">
            <v>0</v>
          </cell>
          <cell r="F71">
            <v>1000000</v>
          </cell>
          <cell r="G71">
            <v>10</v>
          </cell>
          <cell r="H71">
            <v>1197.25</v>
          </cell>
          <cell r="I71">
            <v>60.575808466982686</v>
          </cell>
        </row>
        <row r="72">
          <cell r="B72">
            <v>-1.8733848845053805E-3</v>
          </cell>
          <cell r="C72">
            <v>0</v>
          </cell>
          <cell r="F72">
            <v>1000000</v>
          </cell>
          <cell r="G72">
            <v>10</v>
          </cell>
          <cell r="H72">
            <v>1197.25</v>
          </cell>
          <cell r="I72">
            <v>60.575808466982686</v>
          </cell>
        </row>
        <row r="73">
          <cell r="B73">
            <v>-1.8571193541994059E-3</v>
          </cell>
          <cell r="C73">
            <v>0</v>
          </cell>
          <cell r="F73">
            <v>1000000</v>
          </cell>
          <cell r="G73">
            <v>10</v>
          </cell>
          <cell r="H73">
            <v>1197.25</v>
          </cell>
          <cell r="I73">
            <v>60.575808466982686</v>
          </cell>
        </row>
        <row r="74">
          <cell r="B74">
            <v>-1.8160341155967418E-3</v>
          </cell>
          <cell r="C74">
            <v>0</v>
          </cell>
          <cell r="F74">
            <v>1000000</v>
          </cell>
          <cell r="G74">
            <v>10</v>
          </cell>
          <cell r="H74">
            <v>1197.25</v>
          </cell>
          <cell r="I74">
            <v>60.575808466982686</v>
          </cell>
        </row>
        <row r="75">
          <cell r="B75">
            <v>-1.7559880743186732E-3</v>
          </cell>
          <cell r="C75">
            <v>0</v>
          </cell>
          <cell r="F75">
            <v>1000000</v>
          </cell>
          <cell r="G75">
            <v>10</v>
          </cell>
          <cell r="H75">
            <v>1197.25</v>
          </cell>
          <cell r="I75">
            <v>60.575808466982686</v>
          </cell>
        </row>
        <row r="76">
          <cell r="B76">
            <v>-1.6587391155494481E-3</v>
          </cell>
          <cell r="C76">
            <v>0</v>
          </cell>
          <cell r="F76">
            <v>1000000</v>
          </cell>
          <cell r="G76">
            <v>10</v>
          </cell>
          <cell r="H76">
            <v>1197.25</v>
          </cell>
          <cell r="I76">
            <v>60.575808466982686</v>
          </cell>
        </row>
        <row r="77">
          <cell r="B77">
            <v>-1.5212347135403154E-3</v>
          </cell>
          <cell r="C77">
            <v>0</v>
          </cell>
          <cell r="F77">
            <v>1000000</v>
          </cell>
          <cell r="G77">
            <v>10</v>
          </cell>
          <cell r="H77">
            <v>1197.25</v>
          </cell>
          <cell r="I77">
            <v>60.575808466982686</v>
          </cell>
        </row>
        <row r="78">
          <cell r="B78">
            <v>-1.3518904286426063E-3</v>
          </cell>
          <cell r="C78">
            <v>0</v>
          </cell>
          <cell r="F78">
            <v>1000000</v>
          </cell>
          <cell r="G78">
            <v>10</v>
          </cell>
          <cell r="H78">
            <v>1197.25</v>
          </cell>
          <cell r="I78">
            <v>60.575808466982686</v>
          </cell>
        </row>
        <row r="79">
          <cell r="B79">
            <v>-1.1847952490352304E-3</v>
          </cell>
          <cell r="C79">
            <v>0</v>
          </cell>
          <cell r="F79">
            <v>1000000</v>
          </cell>
          <cell r="G79">
            <v>10</v>
          </cell>
          <cell r="H79">
            <v>1197.25</v>
          </cell>
          <cell r="I79">
            <v>60.575808466982686</v>
          </cell>
        </row>
        <row r="80">
          <cell r="B80">
            <v>-9.993964505388038E-4</v>
          </cell>
          <cell r="C80">
            <v>0</v>
          </cell>
          <cell r="F80">
            <v>1000000</v>
          </cell>
          <cell r="G80">
            <v>10</v>
          </cell>
          <cell r="H80">
            <v>1197.25</v>
          </cell>
          <cell r="I80">
            <v>60.575808466982686</v>
          </cell>
        </row>
        <row r="81">
          <cell r="B81">
            <v>-3.8827864362615994E-3</v>
          </cell>
          <cell r="C81">
            <v>0</v>
          </cell>
          <cell r="F81">
            <v>1000000</v>
          </cell>
          <cell r="G81">
            <v>10</v>
          </cell>
          <cell r="H81">
            <v>1197.25</v>
          </cell>
          <cell r="I81">
            <v>60.575808466982686</v>
          </cell>
        </row>
        <row r="82">
          <cell r="B82">
            <v>0</v>
          </cell>
          <cell r="C82">
            <v>0</v>
          </cell>
          <cell r="F82">
            <v>1000000</v>
          </cell>
          <cell r="G82">
            <v>10</v>
          </cell>
          <cell r="H82">
            <v>1197.25</v>
          </cell>
          <cell r="I82">
            <v>60.575808466982686</v>
          </cell>
        </row>
        <row r="83">
          <cell r="B83">
            <v>0</v>
          </cell>
          <cell r="C83">
            <v>0</v>
          </cell>
          <cell r="F83">
            <v>1000000</v>
          </cell>
          <cell r="G83">
            <v>10</v>
          </cell>
          <cell r="H83">
            <v>1197.25</v>
          </cell>
          <cell r="I83">
            <v>60.575808466982686</v>
          </cell>
        </row>
        <row r="84">
          <cell r="B84">
            <v>0</v>
          </cell>
          <cell r="C84">
            <v>0</v>
          </cell>
          <cell r="F84">
            <v>1000000</v>
          </cell>
          <cell r="G84">
            <v>10</v>
          </cell>
          <cell r="H84">
            <v>1197.25</v>
          </cell>
          <cell r="I84">
            <v>60.575808466982686</v>
          </cell>
        </row>
        <row r="85">
          <cell r="B85">
            <v>0</v>
          </cell>
          <cell r="C85">
            <v>0</v>
          </cell>
          <cell r="F85">
            <v>1000000</v>
          </cell>
          <cell r="G85">
            <v>10</v>
          </cell>
          <cell r="H85">
            <v>1197.25</v>
          </cell>
          <cell r="I85">
            <v>60.575808466982686</v>
          </cell>
        </row>
        <row r="86">
          <cell r="B86">
            <v>0</v>
          </cell>
          <cell r="C86">
            <v>0</v>
          </cell>
          <cell r="F86">
            <v>1000000</v>
          </cell>
          <cell r="G86">
            <v>10</v>
          </cell>
          <cell r="H86">
            <v>1197.25</v>
          </cell>
          <cell r="I86">
            <v>60.575808466982686</v>
          </cell>
        </row>
        <row r="87">
          <cell r="B87">
            <v>0</v>
          </cell>
          <cell r="C87">
            <v>0</v>
          </cell>
          <cell r="F87">
            <v>1000000</v>
          </cell>
          <cell r="G87">
            <v>10</v>
          </cell>
          <cell r="H87">
            <v>1197.25</v>
          </cell>
          <cell r="I87">
            <v>60.575808466982686</v>
          </cell>
        </row>
        <row r="88">
          <cell r="B88">
            <v>0</v>
          </cell>
          <cell r="C88">
            <v>0</v>
          </cell>
          <cell r="F88">
            <v>1000000</v>
          </cell>
          <cell r="G88">
            <v>10</v>
          </cell>
          <cell r="H88">
            <v>1197.25</v>
          </cell>
          <cell r="I88">
            <v>60.575808466982686</v>
          </cell>
        </row>
        <row r="89">
          <cell r="B89">
            <v>0</v>
          </cell>
          <cell r="C89">
            <v>0</v>
          </cell>
          <cell r="F89">
            <v>1000000</v>
          </cell>
          <cell r="G89">
            <v>10</v>
          </cell>
          <cell r="H89">
            <v>1197.25</v>
          </cell>
          <cell r="I89">
            <v>60.575808466982686</v>
          </cell>
        </row>
        <row r="90">
          <cell r="B90">
            <v>0</v>
          </cell>
          <cell r="C90">
            <v>0</v>
          </cell>
          <cell r="F90">
            <v>1000000</v>
          </cell>
          <cell r="G90">
            <v>10</v>
          </cell>
          <cell r="H90">
            <v>1197.25</v>
          </cell>
          <cell r="I90">
            <v>60.575808466982686</v>
          </cell>
        </row>
        <row r="91">
          <cell r="B91">
            <v>0</v>
          </cell>
          <cell r="C91">
            <v>0</v>
          </cell>
          <cell r="F91">
            <v>1000000</v>
          </cell>
          <cell r="G91">
            <v>10</v>
          </cell>
          <cell r="H91">
            <v>1197.25</v>
          </cell>
          <cell r="I91">
            <v>60.575808466982686</v>
          </cell>
        </row>
      </sheetData>
      <sheetData sheetId="2">
        <row r="1">
          <cell r="B1" t="str">
            <v>die roten Werte sind Cal Dez-2006; alle anderen Dez-2002</v>
          </cell>
        </row>
        <row r="2">
          <cell r="B2" t="str">
            <v>EAM4</v>
          </cell>
          <cell r="I2" t="str">
            <v>Vinculum C298-1</v>
          </cell>
        </row>
        <row r="3">
          <cell r="A3" t="str">
            <v>WL</v>
          </cell>
          <cell r="B3" t="str">
            <v>eps</v>
          </cell>
          <cell r="E3" t="str">
            <v>eff. degree</v>
          </cell>
          <cell r="F3" t="str">
            <v>u(eps)</v>
          </cell>
          <cell r="K3" t="str">
            <v>correction</v>
          </cell>
          <cell r="L3" t="str">
            <v>U(correction)</v>
          </cell>
        </row>
        <row r="4">
          <cell r="A4" t="str">
            <v>nm</v>
          </cell>
          <cell r="B4" t="str">
            <v>A / W</v>
          </cell>
          <cell r="E4" t="str">
            <v>freedom</v>
          </cell>
          <cell r="F4" t="str">
            <v>rel</v>
          </cell>
          <cell r="I4" t="str">
            <v>Range</v>
          </cell>
          <cell r="J4" t="str">
            <v>Preamp</v>
          </cell>
          <cell r="K4" t="str">
            <v>ppm</v>
          </cell>
          <cell r="L4" t="str">
            <v>ppm</v>
          </cell>
        </row>
        <row r="5">
          <cell r="A5">
            <v>240</v>
          </cell>
          <cell r="B5">
            <v>0.22667000000000001</v>
          </cell>
          <cell r="E5">
            <v>24</v>
          </cell>
          <cell r="F5">
            <v>1.4545454545454545E-3</v>
          </cell>
          <cell r="I5">
            <v>1</v>
          </cell>
          <cell r="J5">
            <v>1</v>
          </cell>
          <cell r="K5">
            <v>0</v>
          </cell>
          <cell r="L5">
            <v>0</v>
          </cell>
        </row>
        <row r="6">
          <cell r="A6">
            <v>250</v>
          </cell>
          <cell r="B6">
            <v>0.22359999999999999</v>
          </cell>
          <cell r="E6">
            <v>42</v>
          </cell>
          <cell r="F6">
            <v>2.4757281553398056E-3</v>
          </cell>
          <cell r="I6">
            <v>1</v>
          </cell>
          <cell r="J6">
            <v>1</v>
          </cell>
          <cell r="K6">
            <v>0</v>
          </cell>
          <cell r="L6">
            <v>0</v>
          </cell>
        </row>
        <row r="7">
          <cell r="A7">
            <v>260</v>
          </cell>
          <cell r="B7">
            <v>0.21890000000000001</v>
          </cell>
          <cell r="E7" t="str">
            <v>Inf</v>
          </cell>
          <cell r="F7">
            <v>2.0499999999999997E-3</v>
          </cell>
          <cell r="I7">
            <v>1</v>
          </cell>
          <cell r="J7">
            <v>1</v>
          </cell>
          <cell r="K7">
            <v>0</v>
          </cell>
          <cell r="L7">
            <v>0</v>
          </cell>
        </row>
        <row r="8">
          <cell r="A8">
            <v>270</v>
          </cell>
          <cell r="B8">
            <v>0.21460000000000001</v>
          </cell>
          <cell r="E8" t="str">
            <v>Inf</v>
          </cell>
          <cell r="F8">
            <v>1.9500000000000001E-3</v>
          </cell>
          <cell r="I8">
            <v>1</v>
          </cell>
          <cell r="J8">
            <v>1</v>
          </cell>
          <cell r="K8">
            <v>0</v>
          </cell>
          <cell r="L8">
            <v>0</v>
          </cell>
        </row>
        <row r="9">
          <cell r="A9">
            <v>280</v>
          </cell>
          <cell r="B9">
            <v>0.22259999999999999</v>
          </cell>
          <cell r="E9" t="str">
            <v>Inf</v>
          </cell>
          <cell r="F9">
            <v>2E-3</v>
          </cell>
          <cell r="I9">
            <v>1</v>
          </cell>
          <cell r="J9">
            <v>1</v>
          </cell>
          <cell r="K9">
            <v>0</v>
          </cell>
          <cell r="L9">
            <v>0</v>
          </cell>
        </row>
        <row r="10">
          <cell r="A10">
            <v>290</v>
          </cell>
          <cell r="B10">
            <v>0.23680000000000001</v>
          </cell>
          <cell r="E10" t="str">
            <v>Inf</v>
          </cell>
          <cell r="F10">
            <v>2E-3</v>
          </cell>
          <cell r="I10">
            <v>1</v>
          </cell>
          <cell r="J10">
            <v>1</v>
          </cell>
          <cell r="K10">
            <v>0</v>
          </cell>
          <cell r="L10">
            <v>0</v>
          </cell>
        </row>
        <row r="11">
          <cell r="A11">
            <v>300</v>
          </cell>
          <cell r="B11">
            <v>0.24349999999999999</v>
          </cell>
          <cell r="E11" t="str">
            <v>Inf</v>
          </cell>
          <cell r="F11">
            <v>1.9500000000000001E-3</v>
          </cell>
          <cell r="I11">
            <v>10000000</v>
          </cell>
          <cell r="J11">
            <v>100</v>
          </cell>
          <cell r="K11">
            <v>2657</v>
          </cell>
          <cell r="L11">
            <v>193.89098557105302</v>
          </cell>
        </row>
        <row r="12">
          <cell r="A12">
            <v>310</v>
          </cell>
          <cell r="B12">
            <v>0.24759999999999999</v>
          </cell>
          <cell r="E12" t="str">
            <v>Inf</v>
          </cell>
          <cell r="F12">
            <v>2E-3</v>
          </cell>
          <cell r="I12">
            <v>10000000</v>
          </cell>
          <cell r="J12">
            <v>100</v>
          </cell>
          <cell r="K12">
            <v>2657</v>
          </cell>
          <cell r="L12">
            <v>193.89098557105302</v>
          </cell>
        </row>
        <row r="13">
          <cell r="A13">
            <v>320</v>
          </cell>
          <cell r="B13">
            <v>0.25230000000000002</v>
          </cell>
          <cell r="E13" t="str">
            <v>Inf</v>
          </cell>
          <cell r="F13">
            <v>1.9500000000000001E-3</v>
          </cell>
          <cell r="I13">
            <v>10000000</v>
          </cell>
          <cell r="J13">
            <v>100</v>
          </cell>
          <cell r="K13">
            <v>2657</v>
          </cell>
          <cell r="L13">
            <v>193.89098557105302</v>
          </cell>
        </row>
        <row r="14">
          <cell r="A14">
            <v>330</v>
          </cell>
          <cell r="B14">
            <v>0.25840000000000002</v>
          </cell>
          <cell r="E14" t="str">
            <v>Inf</v>
          </cell>
          <cell r="F14">
            <v>2.0999999999999999E-3</v>
          </cell>
          <cell r="I14">
            <v>10000000</v>
          </cell>
          <cell r="J14">
            <v>100</v>
          </cell>
          <cell r="K14">
            <v>2657</v>
          </cell>
          <cell r="L14">
            <v>193.89098557105302</v>
          </cell>
        </row>
        <row r="15">
          <cell r="A15">
            <v>340</v>
          </cell>
          <cell r="B15">
            <v>0.2651</v>
          </cell>
          <cell r="E15" t="str">
            <v>Inf</v>
          </cell>
          <cell r="F15">
            <v>1.9500000000000001E-3</v>
          </cell>
          <cell r="I15">
            <v>10000000</v>
          </cell>
          <cell r="J15">
            <v>100</v>
          </cell>
          <cell r="K15">
            <v>2657</v>
          </cell>
          <cell r="L15">
            <v>193.89098557105302</v>
          </cell>
        </row>
        <row r="16">
          <cell r="A16">
            <v>350</v>
          </cell>
          <cell r="B16">
            <v>0.27129999999999999</v>
          </cell>
          <cell r="E16" t="str">
            <v>Inf</v>
          </cell>
          <cell r="F16">
            <v>2E-3</v>
          </cell>
          <cell r="I16">
            <v>10000000</v>
          </cell>
          <cell r="J16">
            <v>100</v>
          </cell>
          <cell r="K16">
            <v>2657</v>
          </cell>
          <cell r="L16">
            <v>193.89098557105302</v>
          </cell>
        </row>
        <row r="17">
          <cell r="A17">
            <v>360</v>
          </cell>
          <cell r="B17">
            <v>0.2767</v>
          </cell>
          <cell r="E17" t="str">
            <v>Inf</v>
          </cell>
          <cell r="F17">
            <v>2E-3</v>
          </cell>
          <cell r="I17">
            <v>10000000</v>
          </cell>
          <cell r="J17">
            <v>100</v>
          </cell>
          <cell r="K17">
            <v>2657</v>
          </cell>
          <cell r="L17">
            <v>193.89098557105302</v>
          </cell>
        </row>
        <row r="18">
          <cell r="A18">
            <v>370</v>
          </cell>
          <cell r="B18">
            <v>0.28360000000000002</v>
          </cell>
          <cell r="E18" t="str">
            <v>Inf</v>
          </cell>
          <cell r="F18">
            <v>1.9500000000000001E-3</v>
          </cell>
          <cell r="I18">
            <v>10000000</v>
          </cell>
          <cell r="J18">
            <v>100</v>
          </cell>
          <cell r="K18">
            <v>2657</v>
          </cell>
          <cell r="L18">
            <v>193.89098557105302</v>
          </cell>
        </row>
        <row r="19">
          <cell r="A19">
            <v>380</v>
          </cell>
          <cell r="B19">
            <v>0.29339999999999999</v>
          </cell>
          <cell r="E19" t="str">
            <v>Inf</v>
          </cell>
          <cell r="F19">
            <v>1.9500000000000001E-3</v>
          </cell>
          <cell r="I19">
            <v>10000000</v>
          </cell>
          <cell r="J19">
            <v>10</v>
          </cell>
          <cell r="K19">
            <v>1662.5</v>
          </cell>
          <cell r="L19">
            <v>62.427100342262072</v>
          </cell>
        </row>
        <row r="20">
          <cell r="A20">
            <v>390</v>
          </cell>
          <cell r="B20">
            <v>0.30459999999999998</v>
          </cell>
          <cell r="E20" t="str">
            <v>Inf</v>
          </cell>
          <cell r="F20">
            <v>1E-3</v>
          </cell>
          <cell r="I20">
            <v>10000000</v>
          </cell>
          <cell r="J20">
            <v>10</v>
          </cell>
          <cell r="K20">
            <v>1662.5</v>
          </cell>
          <cell r="L20">
            <v>62.427100342262072</v>
          </cell>
        </row>
        <row r="21">
          <cell r="A21">
            <v>400</v>
          </cell>
          <cell r="B21">
            <v>0.31359999999999999</v>
          </cell>
          <cell r="E21" t="str">
            <v>Inf</v>
          </cell>
          <cell r="F21">
            <v>1E-3</v>
          </cell>
          <cell r="I21">
            <v>10000000</v>
          </cell>
          <cell r="J21">
            <v>10</v>
          </cell>
          <cell r="K21">
            <v>1662.5</v>
          </cell>
          <cell r="L21">
            <v>62.427100342262072</v>
          </cell>
        </row>
        <row r="22">
          <cell r="A22">
            <v>410</v>
          </cell>
          <cell r="B22">
            <v>0.3226</v>
          </cell>
          <cell r="E22" t="str">
            <v>Inf</v>
          </cell>
          <cell r="F22">
            <v>8.5000000000000006E-4</v>
          </cell>
          <cell r="I22">
            <v>10000000</v>
          </cell>
          <cell r="J22">
            <v>10</v>
          </cell>
          <cell r="K22">
            <v>1662.5</v>
          </cell>
          <cell r="L22">
            <v>62.427100342262072</v>
          </cell>
        </row>
        <row r="23">
          <cell r="A23">
            <v>420</v>
          </cell>
          <cell r="B23">
            <v>0.33160000000000001</v>
          </cell>
          <cell r="E23" t="str">
            <v>Inf</v>
          </cell>
          <cell r="F23">
            <v>8.5000000000000006E-4</v>
          </cell>
          <cell r="I23">
            <v>10000000</v>
          </cell>
          <cell r="J23">
            <v>10</v>
          </cell>
          <cell r="K23">
            <v>1662.5</v>
          </cell>
          <cell r="L23">
            <v>62.427100342262072</v>
          </cell>
        </row>
        <row r="24">
          <cell r="A24">
            <v>430</v>
          </cell>
          <cell r="B24">
            <v>0.34050000000000002</v>
          </cell>
          <cell r="E24" t="str">
            <v>Inf</v>
          </cell>
          <cell r="F24">
            <v>8.5000000000000006E-4</v>
          </cell>
          <cell r="I24">
            <v>10000000</v>
          </cell>
          <cell r="J24">
            <v>10</v>
          </cell>
          <cell r="K24">
            <v>1662.5</v>
          </cell>
          <cell r="L24">
            <v>62.427100342262072</v>
          </cell>
        </row>
        <row r="25">
          <cell r="A25">
            <v>440</v>
          </cell>
          <cell r="B25">
            <v>0.34910000000000002</v>
          </cell>
          <cell r="E25" t="str">
            <v>Inf</v>
          </cell>
          <cell r="F25">
            <v>8.5000000000000006E-4</v>
          </cell>
          <cell r="I25">
            <v>10000000</v>
          </cell>
          <cell r="J25">
            <v>10</v>
          </cell>
          <cell r="K25">
            <v>1662.5</v>
          </cell>
          <cell r="L25">
            <v>62.427100342262072</v>
          </cell>
        </row>
        <row r="26">
          <cell r="A26">
            <v>450</v>
          </cell>
          <cell r="B26">
            <v>0.35759999999999997</v>
          </cell>
          <cell r="E26" t="str">
            <v>Inf</v>
          </cell>
          <cell r="F26">
            <v>6.4999999999999997E-4</v>
          </cell>
          <cell r="I26">
            <v>10000000</v>
          </cell>
          <cell r="J26">
            <v>10</v>
          </cell>
          <cell r="K26">
            <v>1662.5</v>
          </cell>
          <cell r="L26">
            <v>62.427100342262072</v>
          </cell>
        </row>
        <row r="27">
          <cell r="A27">
            <v>460</v>
          </cell>
          <cell r="B27">
            <v>0.36717</v>
          </cell>
          <cell r="E27" t="str">
            <v>Inf</v>
          </cell>
          <cell r="F27">
            <v>5.5000000000000003E-4</v>
          </cell>
          <cell r="I27">
            <v>10000000</v>
          </cell>
          <cell r="J27">
            <v>10</v>
          </cell>
          <cell r="K27">
            <v>1662.5</v>
          </cell>
          <cell r="L27">
            <v>62.427100342262072</v>
          </cell>
        </row>
        <row r="28">
          <cell r="A28">
            <v>470</v>
          </cell>
          <cell r="B28">
            <v>0.37545000000000001</v>
          </cell>
          <cell r="E28" t="str">
            <v>Inf</v>
          </cell>
          <cell r="F28">
            <v>4.0000000000000002E-4</v>
          </cell>
          <cell r="I28">
            <v>10000000</v>
          </cell>
          <cell r="J28">
            <v>10</v>
          </cell>
          <cell r="K28">
            <v>1662.5</v>
          </cell>
          <cell r="L28">
            <v>62.427100342262072</v>
          </cell>
        </row>
        <row r="29">
          <cell r="A29">
            <v>480</v>
          </cell>
          <cell r="B29">
            <v>0.38378000000000001</v>
          </cell>
          <cell r="E29" t="str">
            <v>Inf</v>
          </cell>
          <cell r="F29">
            <v>4.0000000000000002E-4</v>
          </cell>
          <cell r="I29">
            <v>1000000</v>
          </cell>
          <cell r="J29">
            <v>10</v>
          </cell>
          <cell r="K29">
            <v>1546.375</v>
          </cell>
          <cell r="L29">
            <v>60.587009451578929</v>
          </cell>
        </row>
        <row r="30">
          <cell r="A30">
            <v>490</v>
          </cell>
          <cell r="B30">
            <v>0.39201000000000003</v>
          </cell>
          <cell r="E30" t="str">
            <v>Inf</v>
          </cell>
          <cell r="F30">
            <v>4.0000000000000002E-4</v>
          </cell>
          <cell r="I30">
            <v>1000000</v>
          </cell>
          <cell r="J30">
            <v>10</v>
          </cell>
          <cell r="K30">
            <v>1546.375</v>
          </cell>
          <cell r="L30">
            <v>60.587009451578929</v>
          </cell>
        </row>
        <row r="31">
          <cell r="A31">
            <v>500</v>
          </cell>
          <cell r="B31">
            <v>0.40023999999999998</v>
          </cell>
          <cell r="E31" t="str">
            <v>Inf</v>
          </cell>
          <cell r="F31">
            <v>4.0000000000000002E-4</v>
          </cell>
          <cell r="I31">
            <v>1000000</v>
          </cell>
          <cell r="J31">
            <v>10</v>
          </cell>
          <cell r="K31">
            <v>1546.375</v>
          </cell>
          <cell r="L31">
            <v>60.587009451578929</v>
          </cell>
        </row>
        <row r="32">
          <cell r="A32">
            <v>510</v>
          </cell>
          <cell r="B32">
            <v>0.40848000000000001</v>
          </cell>
          <cell r="E32" t="str">
            <v>Inf</v>
          </cell>
          <cell r="F32">
            <v>4.0000000000000002E-4</v>
          </cell>
          <cell r="I32">
            <v>1000000</v>
          </cell>
          <cell r="J32">
            <v>10</v>
          </cell>
          <cell r="K32">
            <v>1546.375</v>
          </cell>
          <cell r="L32">
            <v>60.587009451578929</v>
          </cell>
        </row>
        <row r="33">
          <cell r="A33">
            <v>520</v>
          </cell>
          <cell r="B33">
            <v>0.41667999999999999</v>
          </cell>
          <cell r="E33" t="str">
            <v>Inf</v>
          </cell>
          <cell r="F33">
            <v>4.0000000000000002E-4</v>
          </cell>
          <cell r="I33">
            <v>1000000</v>
          </cell>
          <cell r="J33">
            <v>10</v>
          </cell>
          <cell r="K33">
            <v>1546.375</v>
          </cell>
          <cell r="L33">
            <v>60.587009451578929</v>
          </cell>
        </row>
        <row r="34">
          <cell r="A34">
            <v>530</v>
          </cell>
          <cell r="B34">
            <v>0.42486000000000002</v>
          </cell>
          <cell r="E34" t="str">
            <v>Inf</v>
          </cell>
          <cell r="F34">
            <v>4.0000000000000002E-4</v>
          </cell>
          <cell r="I34">
            <v>1000000</v>
          </cell>
          <cell r="J34">
            <v>10</v>
          </cell>
          <cell r="K34">
            <v>1546.375</v>
          </cell>
          <cell r="L34">
            <v>60.587009451578929</v>
          </cell>
        </row>
        <row r="35">
          <cell r="A35">
            <v>540</v>
          </cell>
          <cell r="B35">
            <v>0.43307000000000001</v>
          </cell>
          <cell r="E35" t="str">
            <v>Inf</v>
          </cell>
          <cell r="F35">
            <v>4.0000000000000002E-4</v>
          </cell>
          <cell r="I35">
            <v>1000000</v>
          </cell>
          <cell r="J35">
            <v>10</v>
          </cell>
          <cell r="K35">
            <v>1546.375</v>
          </cell>
          <cell r="L35">
            <v>60.587009451578929</v>
          </cell>
        </row>
        <row r="36">
          <cell r="A36">
            <v>550</v>
          </cell>
          <cell r="B36">
            <v>0.44125999999999999</v>
          </cell>
          <cell r="E36" t="str">
            <v>Inf</v>
          </cell>
          <cell r="F36">
            <v>4.0000000000000002E-4</v>
          </cell>
          <cell r="I36">
            <v>1000000</v>
          </cell>
          <cell r="J36">
            <v>10</v>
          </cell>
          <cell r="K36">
            <v>1546.375</v>
          </cell>
          <cell r="L36">
            <v>60.587009451578929</v>
          </cell>
        </row>
        <row r="37">
          <cell r="A37">
            <v>560</v>
          </cell>
          <cell r="B37">
            <v>0.44944000000000001</v>
          </cell>
          <cell r="E37" t="str">
            <v>Inf</v>
          </cell>
          <cell r="F37">
            <v>4.0000000000000002E-4</v>
          </cell>
          <cell r="I37">
            <v>1000000</v>
          </cell>
          <cell r="J37">
            <v>10</v>
          </cell>
          <cell r="K37">
            <v>1546.375</v>
          </cell>
          <cell r="L37">
            <v>60.587009451578929</v>
          </cell>
        </row>
        <row r="38">
          <cell r="A38">
            <v>570</v>
          </cell>
          <cell r="B38">
            <v>0.45759</v>
          </cell>
          <cell r="E38" t="str">
            <v>Inf</v>
          </cell>
          <cell r="F38">
            <v>4.0000000000000002E-4</v>
          </cell>
          <cell r="I38">
            <v>1000000</v>
          </cell>
          <cell r="J38">
            <v>10</v>
          </cell>
          <cell r="K38">
            <v>1546.375</v>
          </cell>
          <cell r="L38">
            <v>60.587009451578929</v>
          </cell>
        </row>
        <row r="39">
          <cell r="A39">
            <v>580</v>
          </cell>
          <cell r="B39">
            <v>0.46571000000000001</v>
          </cell>
          <cell r="E39" t="str">
            <v>Inf</v>
          </cell>
          <cell r="F39">
            <v>4.0000000000000002E-4</v>
          </cell>
          <cell r="I39">
            <v>1000000</v>
          </cell>
          <cell r="J39">
            <v>10</v>
          </cell>
          <cell r="K39">
            <v>1546.375</v>
          </cell>
          <cell r="L39">
            <v>60.587009451578929</v>
          </cell>
        </row>
        <row r="40">
          <cell r="A40">
            <v>590</v>
          </cell>
          <cell r="B40">
            <v>0.47383999999999998</v>
          </cell>
          <cell r="E40" t="str">
            <v>Inf</v>
          </cell>
          <cell r="F40">
            <v>4.0000000000000002E-4</v>
          </cell>
          <cell r="I40">
            <v>1000000</v>
          </cell>
          <cell r="J40">
            <v>10</v>
          </cell>
          <cell r="K40">
            <v>1546.375</v>
          </cell>
          <cell r="L40">
            <v>60.587009451578929</v>
          </cell>
        </row>
        <row r="41">
          <cell r="A41">
            <v>600</v>
          </cell>
          <cell r="B41">
            <v>0.48198000000000002</v>
          </cell>
          <cell r="E41" t="str">
            <v>Inf</v>
          </cell>
          <cell r="F41">
            <v>4.0000000000000002E-4</v>
          </cell>
          <cell r="I41">
            <v>1000000</v>
          </cell>
          <cell r="J41">
            <v>10</v>
          </cell>
          <cell r="K41">
            <v>1546.375</v>
          </cell>
          <cell r="L41">
            <v>60.587009451578929</v>
          </cell>
        </row>
        <row r="42">
          <cell r="A42">
            <v>610</v>
          </cell>
          <cell r="B42">
            <v>0.49007000000000001</v>
          </cell>
          <cell r="E42" t="str">
            <v>Inf</v>
          </cell>
          <cell r="F42">
            <v>4.0000000000000002E-4</v>
          </cell>
          <cell r="I42">
            <v>1000000</v>
          </cell>
          <cell r="J42">
            <v>10</v>
          </cell>
          <cell r="K42">
            <v>1546.375</v>
          </cell>
          <cell r="L42">
            <v>60.587009451578929</v>
          </cell>
        </row>
        <row r="43">
          <cell r="A43">
            <v>620</v>
          </cell>
          <cell r="B43">
            <v>0.49815999999999999</v>
          </cell>
          <cell r="E43" t="str">
            <v>Inf</v>
          </cell>
          <cell r="F43">
            <v>4.0000000000000002E-4</v>
          </cell>
          <cell r="I43">
            <v>1000000</v>
          </cell>
          <cell r="J43">
            <v>10</v>
          </cell>
          <cell r="K43">
            <v>1546.375</v>
          </cell>
          <cell r="L43">
            <v>60.587009451578929</v>
          </cell>
        </row>
        <row r="44">
          <cell r="A44">
            <v>630</v>
          </cell>
          <cell r="B44">
            <v>0.50621000000000005</v>
          </cell>
          <cell r="E44" t="str">
            <v>Inf</v>
          </cell>
          <cell r="F44">
            <v>4.0000000000000002E-4</v>
          </cell>
          <cell r="I44">
            <v>1000000</v>
          </cell>
          <cell r="J44">
            <v>10</v>
          </cell>
          <cell r="K44">
            <v>1546.375</v>
          </cell>
          <cell r="L44">
            <v>60.587009451578929</v>
          </cell>
        </row>
        <row r="45">
          <cell r="A45">
            <v>640</v>
          </cell>
          <cell r="B45">
            <v>0.51429999999999998</v>
          </cell>
          <cell r="E45" t="str">
            <v>Inf</v>
          </cell>
          <cell r="F45">
            <v>4.0000000000000002E-4</v>
          </cell>
          <cell r="I45">
            <v>1000000</v>
          </cell>
          <cell r="J45">
            <v>10</v>
          </cell>
          <cell r="K45">
            <v>1546.375</v>
          </cell>
          <cell r="L45">
            <v>60.587009451578929</v>
          </cell>
        </row>
        <row r="46">
          <cell r="A46">
            <v>650</v>
          </cell>
          <cell r="B46">
            <v>0.52237</v>
          </cell>
          <cell r="E46" t="str">
            <v>Inf</v>
          </cell>
          <cell r="F46">
            <v>4.0000000000000002E-4</v>
          </cell>
          <cell r="I46">
            <v>1000000</v>
          </cell>
          <cell r="J46">
            <v>10</v>
          </cell>
          <cell r="K46">
            <v>1546.375</v>
          </cell>
          <cell r="L46">
            <v>60.587009451578929</v>
          </cell>
        </row>
        <row r="47">
          <cell r="A47">
            <v>660</v>
          </cell>
          <cell r="B47">
            <v>0.53044999999999998</v>
          </cell>
          <cell r="E47" t="str">
            <v>Inf</v>
          </cell>
          <cell r="F47">
            <v>4.0000000000000002E-4</v>
          </cell>
          <cell r="I47">
            <v>1000000</v>
          </cell>
          <cell r="J47">
            <v>10</v>
          </cell>
          <cell r="K47">
            <v>1546.375</v>
          </cell>
          <cell r="L47">
            <v>60.587009451578929</v>
          </cell>
        </row>
        <row r="48">
          <cell r="A48">
            <v>670</v>
          </cell>
          <cell r="B48">
            <v>0.53852</v>
          </cell>
          <cell r="E48" t="str">
            <v>Inf</v>
          </cell>
          <cell r="F48">
            <v>4.0000000000000002E-4</v>
          </cell>
          <cell r="I48">
            <v>1000000</v>
          </cell>
          <cell r="J48">
            <v>10</v>
          </cell>
          <cell r="K48">
            <v>1546.375</v>
          </cell>
          <cell r="L48">
            <v>60.587009451578929</v>
          </cell>
        </row>
        <row r="49">
          <cell r="A49">
            <v>680</v>
          </cell>
          <cell r="B49">
            <v>0.54656000000000005</v>
          </cell>
          <cell r="E49" t="str">
            <v>Inf</v>
          </cell>
          <cell r="F49">
            <v>4.0000000000000002E-4</v>
          </cell>
          <cell r="I49">
            <v>1000000</v>
          </cell>
          <cell r="J49">
            <v>10</v>
          </cell>
          <cell r="K49">
            <v>1546.375</v>
          </cell>
          <cell r="L49">
            <v>60.587009451578929</v>
          </cell>
        </row>
        <row r="50">
          <cell r="A50">
            <v>690</v>
          </cell>
          <cell r="B50">
            <v>0.55464999999999998</v>
          </cell>
          <cell r="E50" t="str">
            <v>Inf</v>
          </cell>
          <cell r="F50">
            <v>4.0000000000000002E-4</v>
          </cell>
          <cell r="I50">
            <v>1000000</v>
          </cell>
          <cell r="J50">
            <v>10</v>
          </cell>
          <cell r="K50">
            <v>1546.375</v>
          </cell>
          <cell r="L50">
            <v>60.587009451578929</v>
          </cell>
        </row>
        <row r="51">
          <cell r="A51">
            <v>700</v>
          </cell>
          <cell r="B51">
            <v>0.56269000000000002</v>
          </cell>
          <cell r="E51" t="str">
            <v>Inf</v>
          </cell>
          <cell r="F51">
            <v>4.0000000000000002E-4</v>
          </cell>
          <cell r="I51">
            <v>1000000</v>
          </cell>
          <cell r="J51">
            <v>10</v>
          </cell>
          <cell r="K51">
            <v>1546.375</v>
          </cell>
          <cell r="L51">
            <v>60.587009451578929</v>
          </cell>
        </row>
        <row r="52">
          <cell r="A52">
            <v>710</v>
          </cell>
          <cell r="B52">
            <v>0.57077</v>
          </cell>
          <cell r="E52" t="str">
            <v>Inf</v>
          </cell>
          <cell r="F52">
            <v>4.0000000000000002E-4</v>
          </cell>
          <cell r="I52">
            <v>1000000</v>
          </cell>
          <cell r="J52">
            <v>10</v>
          </cell>
          <cell r="K52">
            <v>1546.375</v>
          </cell>
          <cell r="L52">
            <v>60.587009451578929</v>
          </cell>
        </row>
        <row r="53">
          <cell r="A53">
            <v>720</v>
          </cell>
          <cell r="B53">
            <v>0.57881000000000005</v>
          </cell>
          <cell r="E53" t="str">
            <v>Inf</v>
          </cell>
          <cell r="F53">
            <v>4.0000000000000002E-4</v>
          </cell>
          <cell r="I53">
            <v>1000000</v>
          </cell>
          <cell r="J53">
            <v>10</v>
          </cell>
          <cell r="K53">
            <v>1546.375</v>
          </cell>
          <cell r="L53">
            <v>60.587009451578929</v>
          </cell>
        </row>
        <row r="54">
          <cell r="A54">
            <v>730</v>
          </cell>
          <cell r="B54">
            <v>0.58686000000000005</v>
          </cell>
          <cell r="E54" t="str">
            <v>Inf</v>
          </cell>
          <cell r="F54">
            <v>4.0000000000000002E-4</v>
          </cell>
          <cell r="I54">
            <v>1000000</v>
          </cell>
          <cell r="J54">
            <v>10</v>
          </cell>
          <cell r="K54">
            <v>1546.375</v>
          </cell>
          <cell r="L54">
            <v>60.587009451578929</v>
          </cell>
        </row>
        <row r="55">
          <cell r="A55">
            <v>740</v>
          </cell>
          <cell r="B55">
            <v>0.59489999999999998</v>
          </cell>
          <cell r="E55" t="str">
            <v>Inf</v>
          </cell>
          <cell r="F55">
            <v>4.0000000000000002E-4</v>
          </cell>
          <cell r="I55">
            <v>1000000</v>
          </cell>
          <cell r="J55">
            <v>10</v>
          </cell>
          <cell r="K55">
            <v>1546.375</v>
          </cell>
          <cell r="L55">
            <v>60.587009451578929</v>
          </cell>
        </row>
        <row r="56">
          <cell r="A56">
            <v>750</v>
          </cell>
          <cell r="B56">
            <v>0.60294999999999999</v>
          </cell>
          <cell r="E56" t="str">
            <v>Inf</v>
          </cell>
          <cell r="F56">
            <v>4.0000000000000002E-4</v>
          </cell>
          <cell r="I56">
            <v>1000000</v>
          </cell>
          <cell r="J56">
            <v>10</v>
          </cell>
          <cell r="K56">
            <v>1546.375</v>
          </cell>
          <cell r="L56">
            <v>60.587009451578929</v>
          </cell>
        </row>
        <row r="57">
          <cell r="A57">
            <v>760</v>
          </cell>
          <cell r="B57">
            <v>0.61097999999999997</v>
          </cell>
          <cell r="E57" t="str">
            <v>Inf</v>
          </cell>
          <cell r="F57">
            <v>4.0000000000000002E-4</v>
          </cell>
          <cell r="I57">
            <v>1000000</v>
          </cell>
          <cell r="J57">
            <v>10</v>
          </cell>
          <cell r="K57">
            <v>1546.375</v>
          </cell>
          <cell r="L57">
            <v>60.587009451578929</v>
          </cell>
        </row>
        <row r="58">
          <cell r="A58">
            <v>770</v>
          </cell>
          <cell r="B58">
            <v>0.61904999999999999</v>
          </cell>
          <cell r="E58" t="str">
            <v>Inf</v>
          </cell>
          <cell r="F58">
            <v>4.0000000000000002E-4</v>
          </cell>
          <cell r="I58">
            <v>1000000</v>
          </cell>
          <cell r="J58">
            <v>10</v>
          </cell>
          <cell r="K58">
            <v>1546.375</v>
          </cell>
          <cell r="L58">
            <v>60.587009451578929</v>
          </cell>
        </row>
        <row r="59">
          <cell r="A59">
            <v>780</v>
          </cell>
          <cell r="B59">
            <v>0.62704000000000004</v>
          </cell>
          <cell r="E59" t="str">
            <v>Inf</v>
          </cell>
          <cell r="F59">
            <v>4.0000000000000002E-4</v>
          </cell>
          <cell r="I59">
            <v>1000000</v>
          </cell>
          <cell r="J59">
            <v>10</v>
          </cell>
          <cell r="K59">
            <v>1546.375</v>
          </cell>
          <cell r="L59">
            <v>60.587009451578929</v>
          </cell>
        </row>
        <row r="60">
          <cell r="A60">
            <v>790</v>
          </cell>
          <cell r="B60">
            <v>0.63507000000000002</v>
          </cell>
          <cell r="E60" t="str">
            <v>Inf</v>
          </cell>
          <cell r="F60">
            <v>4.0000000000000002E-4</v>
          </cell>
          <cell r="I60">
            <v>1000000</v>
          </cell>
          <cell r="J60">
            <v>10</v>
          </cell>
          <cell r="K60">
            <v>1546.375</v>
          </cell>
          <cell r="L60">
            <v>60.587009451578929</v>
          </cell>
        </row>
        <row r="61">
          <cell r="A61">
            <v>800</v>
          </cell>
          <cell r="B61">
            <v>0.64315999999999995</v>
          </cell>
          <cell r="E61" t="str">
            <v>Inf</v>
          </cell>
          <cell r="F61">
            <v>4.0000000000000002E-4</v>
          </cell>
          <cell r="I61">
            <v>1000000</v>
          </cell>
          <cell r="J61">
            <v>10</v>
          </cell>
          <cell r="K61">
            <v>1546.375</v>
          </cell>
          <cell r="L61">
            <v>60.587009451578929</v>
          </cell>
        </row>
        <row r="62">
          <cell r="A62">
            <v>810</v>
          </cell>
          <cell r="B62">
            <v>0.65117999999999998</v>
          </cell>
          <cell r="E62" t="str">
            <v>Inf</v>
          </cell>
          <cell r="F62">
            <v>3.8095238095238091E-4</v>
          </cell>
          <cell r="I62">
            <v>1000000</v>
          </cell>
          <cell r="J62">
            <v>10</v>
          </cell>
          <cell r="K62">
            <v>1546.375</v>
          </cell>
          <cell r="L62">
            <v>60.587009451578929</v>
          </cell>
        </row>
        <row r="63">
          <cell r="A63">
            <v>820</v>
          </cell>
          <cell r="B63">
            <v>0.65919000000000005</v>
          </cell>
          <cell r="E63" t="str">
            <v>Inf</v>
          </cell>
          <cell r="F63">
            <v>4.0000000000000002E-4</v>
          </cell>
          <cell r="I63">
            <v>1000000</v>
          </cell>
          <cell r="J63">
            <v>10</v>
          </cell>
          <cell r="K63">
            <v>1546.375</v>
          </cell>
          <cell r="L63">
            <v>60.587009451578929</v>
          </cell>
        </row>
        <row r="64">
          <cell r="A64">
            <v>830</v>
          </cell>
          <cell r="B64">
            <v>0.66725999999999996</v>
          </cell>
          <cell r="E64" t="str">
            <v>Inf</v>
          </cell>
          <cell r="F64">
            <v>4.0000000000000002E-4</v>
          </cell>
          <cell r="I64">
            <v>1000000</v>
          </cell>
          <cell r="J64">
            <v>10</v>
          </cell>
          <cell r="K64">
            <v>1546.375</v>
          </cell>
          <cell r="L64">
            <v>60.587009451578929</v>
          </cell>
        </row>
        <row r="65">
          <cell r="A65">
            <v>840</v>
          </cell>
          <cell r="B65">
            <v>0.67525999999999997</v>
          </cell>
          <cell r="E65" t="str">
            <v>Inf</v>
          </cell>
          <cell r="F65">
            <v>4.0000000000000002E-4</v>
          </cell>
          <cell r="I65">
            <v>1000000</v>
          </cell>
          <cell r="J65">
            <v>10</v>
          </cell>
          <cell r="K65">
            <v>1546.375</v>
          </cell>
          <cell r="L65">
            <v>60.587009451578929</v>
          </cell>
        </row>
        <row r="66">
          <cell r="A66">
            <v>850</v>
          </cell>
          <cell r="B66">
            <v>0.68330999999999997</v>
          </cell>
          <cell r="E66" t="str">
            <v>Inf</v>
          </cell>
          <cell r="F66">
            <v>4.0000000000000002E-4</v>
          </cell>
          <cell r="I66">
            <v>1000000</v>
          </cell>
          <cell r="J66">
            <v>10</v>
          </cell>
          <cell r="K66">
            <v>1546.375</v>
          </cell>
          <cell r="L66">
            <v>60.587009451578929</v>
          </cell>
        </row>
        <row r="67">
          <cell r="A67">
            <v>860</v>
          </cell>
          <cell r="B67">
            <v>0.69130000000000003</v>
          </cell>
          <cell r="E67" t="str">
            <v>Inf</v>
          </cell>
          <cell r="F67">
            <v>4.0000000000000002E-4</v>
          </cell>
          <cell r="I67">
            <v>1000000</v>
          </cell>
          <cell r="J67">
            <v>10</v>
          </cell>
          <cell r="K67">
            <v>1546.375</v>
          </cell>
          <cell r="L67">
            <v>60.587009451578929</v>
          </cell>
        </row>
        <row r="68">
          <cell r="A68">
            <v>870</v>
          </cell>
          <cell r="B68">
            <v>0.69935000000000003</v>
          </cell>
          <cell r="E68" t="str">
            <v>Inf</v>
          </cell>
          <cell r="F68">
            <v>4.0000000000000002E-4</v>
          </cell>
          <cell r="I68">
            <v>1000000</v>
          </cell>
          <cell r="J68">
            <v>10</v>
          </cell>
          <cell r="K68">
            <v>1546.375</v>
          </cell>
          <cell r="L68">
            <v>60.587009451578929</v>
          </cell>
        </row>
        <row r="69">
          <cell r="A69">
            <v>880</v>
          </cell>
          <cell r="B69">
            <v>0.70733999999999997</v>
          </cell>
          <cell r="E69" t="str">
            <v>Inf</v>
          </cell>
          <cell r="F69">
            <v>4.0000000000000002E-4</v>
          </cell>
          <cell r="I69">
            <v>1000000</v>
          </cell>
          <cell r="J69">
            <v>10</v>
          </cell>
          <cell r="K69">
            <v>1546.375</v>
          </cell>
          <cell r="L69">
            <v>60.587009451578929</v>
          </cell>
        </row>
        <row r="70">
          <cell r="A70">
            <v>890</v>
          </cell>
          <cell r="B70">
            <v>0.71528000000000003</v>
          </cell>
          <cell r="E70" t="str">
            <v>Inf</v>
          </cell>
          <cell r="F70">
            <v>4.0000000000000002E-4</v>
          </cell>
          <cell r="I70">
            <v>1000000</v>
          </cell>
          <cell r="J70">
            <v>10</v>
          </cell>
          <cell r="K70">
            <v>1546.375</v>
          </cell>
          <cell r="L70">
            <v>60.587009451578929</v>
          </cell>
        </row>
        <row r="71">
          <cell r="A71">
            <v>900</v>
          </cell>
          <cell r="B71">
            <v>0.72319</v>
          </cell>
          <cell r="E71" t="str">
            <v>Inf</v>
          </cell>
          <cell r="F71">
            <v>4.0000000000000002E-4</v>
          </cell>
          <cell r="I71">
            <v>1000000</v>
          </cell>
          <cell r="J71">
            <v>10</v>
          </cell>
          <cell r="K71">
            <v>1546.375</v>
          </cell>
          <cell r="L71">
            <v>60.587009451578929</v>
          </cell>
        </row>
        <row r="72">
          <cell r="A72">
            <v>910</v>
          </cell>
          <cell r="B72">
            <v>0.73097999999999996</v>
          </cell>
          <cell r="E72" t="str">
            <v>Inf</v>
          </cell>
          <cell r="F72">
            <v>4.0000000000000002E-4</v>
          </cell>
          <cell r="I72">
            <v>1000000</v>
          </cell>
          <cell r="J72">
            <v>10</v>
          </cell>
          <cell r="K72">
            <v>1546.375</v>
          </cell>
          <cell r="L72">
            <v>60.587009451578929</v>
          </cell>
        </row>
        <row r="73">
          <cell r="A73">
            <v>920</v>
          </cell>
          <cell r="B73">
            <v>0.73853000000000002</v>
          </cell>
          <cell r="E73" t="str">
            <v>Inf</v>
          </cell>
          <cell r="F73">
            <v>4.0000000000000002E-4</v>
          </cell>
          <cell r="I73">
            <v>1000000</v>
          </cell>
          <cell r="J73">
            <v>10</v>
          </cell>
          <cell r="K73">
            <v>1546.375</v>
          </cell>
          <cell r="L73">
            <v>60.587009451578929</v>
          </cell>
        </row>
        <row r="74">
          <cell r="A74">
            <v>930</v>
          </cell>
          <cell r="B74">
            <v>0.74519999999999997</v>
          </cell>
          <cell r="E74">
            <v>3</v>
          </cell>
          <cell r="F74">
            <v>1.6363636363636365E-3</v>
          </cell>
          <cell r="I74">
            <v>1000000</v>
          </cell>
          <cell r="J74">
            <v>10</v>
          </cell>
          <cell r="K74">
            <v>1546.375</v>
          </cell>
          <cell r="L74">
            <v>60.587009451578929</v>
          </cell>
        </row>
        <row r="75">
          <cell r="A75">
            <v>940</v>
          </cell>
          <cell r="B75">
            <v>0.75039</v>
          </cell>
          <cell r="E75">
            <v>8</v>
          </cell>
          <cell r="F75">
            <v>1.92E-3</v>
          </cell>
          <cell r="I75">
            <v>1000000</v>
          </cell>
          <cell r="J75">
            <v>10</v>
          </cell>
          <cell r="K75">
            <v>1546.375</v>
          </cell>
          <cell r="L75">
            <v>60.587009451578929</v>
          </cell>
        </row>
        <row r="76">
          <cell r="A76">
            <v>950</v>
          </cell>
          <cell r="B76">
            <v>0.75180000000000002</v>
          </cell>
          <cell r="E76">
            <v>9</v>
          </cell>
          <cell r="F76">
            <v>1.8749999999999999E-3</v>
          </cell>
          <cell r="I76">
            <v>1000000</v>
          </cell>
          <cell r="J76">
            <v>10</v>
          </cell>
          <cell r="K76">
            <v>1546.375</v>
          </cell>
          <cell r="L76">
            <v>60.587009451578929</v>
          </cell>
        </row>
        <row r="77">
          <cell r="A77">
            <v>960</v>
          </cell>
          <cell r="B77">
            <v>0.75141000000000002</v>
          </cell>
          <cell r="E77">
            <v>13</v>
          </cell>
          <cell r="F77">
            <v>1.6521739130434783E-3</v>
          </cell>
          <cell r="I77">
            <v>1000000</v>
          </cell>
          <cell r="J77">
            <v>10</v>
          </cell>
          <cell r="K77">
            <v>1546.375</v>
          </cell>
          <cell r="L77">
            <v>60.587009451578929</v>
          </cell>
        </row>
        <row r="78">
          <cell r="A78">
            <v>970</v>
          </cell>
          <cell r="B78">
            <v>0.74385000000000001</v>
          </cell>
          <cell r="E78">
            <v>7</v>
          </cell>
          <cell r="F78">
            <v>2.0800000000000003E-3</v>
          </cell>
          <cell r="I78">
            <v>1000000</v>
          </cell>
          <cell r="J78">
            <v>10</v>
          </cell>
          <cell r="K78">
            <v>1546.375</v>
          </cell>
          <cell r="L78">
            <v>60.587009451578929</v>
          </cell>
        </row>
        <row r="79">
          <cell r="A79">
            <v>980</v>
          </cell>
          <cell r="B79">
            <v>0.72828999999999999</v>
          </cell>
          <cell r="E79">
            <v>7</v>
          </cell>
          <cell r="F79">
            <v>2.2400000000000002E-3</v>
          </cell>
          <cell r="I79">
            <v>1000000</v>
          </cell>
          <cell r="J79">
            <v>10</v>
          </cell>
          <cell r="K79">
            <v>1546.375</v>
          </cell>
          <cell r="L79">
            <v>60.587009451578929</v>
          </cell>
        </row>
        <row r="80">
          <cell r="A80">
            <v>990</v>
          </cell>
          <cell r="B80">
            <v>0.70315000000000005</v>
          </cell>
          <cell r="E80">
            <v>22</v>
          </cell>
          <cell r="F80">
            <v>1.8181818181818182E-3</v>
          </cell>
          <cell r="I80">
            <v>1000000</v>
          </cell>
          <cell r="J80">
            <v>10</v>
          </cell>
          <cell r="K80">
            <v>1546.375</v>
          </cell>
          <cell r="L80">
            <v>60.587009451578929</v>
          </cell>
        </row>
        <row r="81">
          <cell r="A81">
            <v>1000</v>
          </cell>
          <cell r="B81">
            <v>0.66507000000000005</v>
          </cell>
          <cell r="E81">
            <v>24</v>
          </cell>
          <cell r="F81">
            <v>1.9545454545454545E-3</v>
          </cell>
          <cell r="I81">
            <v>1000000</v>
          </cell>
          <cell r="J81">
            <v>10</v>
          </cell>
          <cell r="K81">
            <v>1546.375</v>
          </cell>
          <cell r="L81">
            <v>60.587009451578929</v>
          </cell>
        </row>
        <row r="82">
          <cell r="A82">
            <v>1010</v>
          </cell>
          <cell r="B82">
            <v>0.61329999999999996</v>
          </cell>
          <cell r="E82">
            <v>19</v>
          </cell>
          <cell r="F82">
            <v>2.3181818181818182E-3</v>
          </cell>
          <cell r="I82">
            <v>1000000</v>
          </cell>
          <cell r="J82">
            <v>10</v>
          </cell>
          <cell r="K82">
            <v>1546.375</v>
          </cell>
          <cell r="L82">
            <v>60.587009451578929</v>
          </cell>
        </row>
        <row r="83">
          <cell r="A83">
            <v>1020</v>
          </cell>
          <cell r="B83">
            <v>0.54739000000000004</v>
          </cell>
          <cell r="E83">
            <v>23</v>
          </cell>
          <cell r="F83">
            <v>2.6818181818181815E-3</v>
          </cell>
          <cell r="I83">
            <v>1000000</v>
          </cell>
          <cell r="J83">
            <v>10</v>
          </cell>
          <cell r="K83">
            <v>1546.375</v>
          </cell>
          <cell r="L83">
            <v>60.587009451578929</v>
          </cell>
        </row>
        <row r="84">
          <cell r="A84">
            <v>1030</v>
          </cell>
          <cell r="B84">
            <v>0.47186</v>
          </cell>
          <cell r="E84" t="str">
            <v>Inf</v>
          </cell>
          <cell r="F84">
            <v>2.7142857142857142E-3</v>
          </cell>
          <cell r="I84">
            <v>1000000</v>
          </cell>
          <cell r="J84">
            <v>10</v>
          </cell>
          <cell r="K84">
            <v>1546.375</v>
          </cell>
          <cell r="L84">
            <v>60.587009451578929</v>
          </cell>
        </row>
        <row r="85">
          <cell r="A85">
            <v>1040</v>
          </cell>
          <cell r="B85">
            <v>0.38700000000000001</v>
          </cell>
          <cell r="E85" t="str">
            <v>Inf</v>
          </cell>
          <cell r="F85">
            <v>3.0000000000000001E-3</v>
          </cell>
          <cell r="I85">
            <v>1000000</v>
          </cell>
          <cell r="J85">
            <v>10</v>
          </cell>
          <cell r="K85">
            <v>1546.375</v>
          </cell>
          <cell r="L85">
            <v>60.587009451578929</v>
          </cell>
        </row>
        <row r="86">
          <cell r="A86">
            <v>1050</v>
          </cell>
          <cell r="B86">
            <v>0.30528</v>
          </cell>
          <cell r="E86" t="str">
            <v>Inf</v>
          </cell>
          <cell r="F86">
            <v>3.3809523809523808E-3</v>
          </cell>
          <cell r="I86">
            <v>1000000</v>
          </cell>
          <cell r="J86">
            <v>10</v>
          </cell>
          <cell r="K86">
            <v>1546.375</v>
          </cell>
          <cell r="L86">
            <v>60.587009451578929</v>
          </cell>
        </row>
        <row r="87">
          <cell r="A87">
            <v>1060</v>
          </cell>
          <cell r="B87">
            <v>0.22889000000000001</v>
          </cell>
          <cell r="E87" t="str">
            <v>Inf</v>
          </cell>
          <cell r="F87">
            <v>3.2380952380952383E-3</v>
          </cell>
          <cell r="I87">
            <v>1000000</v>
          </cell>
          <cell r="J87">
            <v>10</v>
          </cell>
          <cell r="K87">
            <v>1546.375</v>
          </cell>
          <cell r="L87">
            <v>60.587009451578929</v>
          </cell>
        </row>
        <row r="88">
          <cell r="A88">
            <v>1070</v>
          </cell>
          <cell r="B88">
            <v>0.17682</v>
          </cell>
          <cell r="E88" t="str">
            <v>Inf</v>
          </cell>
          <cell r="F88">
            <v>2.9047619047619043E-3</v>
          </cell>
          <cell r="I88">
            <v>1000000</v>
          </cell>
          <cell r="J88">
            <v>10</v>
          </cell>
          <cell r="K88">
            <v>1546.375</v>
          </cell>
          <cell r="L88">
            <v>60.587009451578929</v>
          </cell>
        </row>
        <row r="89">
          <cell r="A89">
            <v>1080</v>
          </cell>
          <cell r="B89">
            <v>0.13977999999999999</v>
          </cell>
          <cell r="E89" t="str">
            <v>Inf</v>
          </cell>
          <cell r="F89">
            <v>3.1904761904761906E-3</v>
          </cell>
          <cell r="I89">
            <v>1000000</v>
          </cell>
          <cell r="J89">
            <v>10</v>
          </cell>
          <cell r="K89">
            <v>1546.375</v>
          </cell>
          <cell r="L89">
            <v>60.587009451578929</v>
          </cell>
        </row>
        <row r="90">
          <cell r="A90">
            <v>1090</v>
          </cell>
          <cell r="B90">
            <v>0.10872999999999999</v>
          </cell>
          <cell r="E90" t="str">
            <v>Inf</v>
          </cell>
          <cell r="F90">
            <v>2.9047619047619043E-3</v>
          </cell>
          <cell r="I90">
            <v>1000000</v>
          </cell>
          <cell r="J90">
            <v>10</v>
          </cell>
          <cell r="K90">
            <v>1546.375</v>
          </cell>
          <cell r="L90">
            <v>60.587009451578929</v>
          </cell>
        </row>
        <row r="91">
          <cell r="A91">
            <v>1100</v>
          </cell>
          <cell r="B91">
            <v>8.3970000000000003E-2</v>
          </cell>
          <cell r="E91">
            <v>9</v>
          </cell>
          <cell r="F91">
            <v>1.7916666666666667E-3</v>
          </cell>
          <cell r="I91">
            <v>1000000</v>
          </cell>
          <cell r="J91">
            <v>10</v>
          </cell>
          <cell r="K91">
            <v>1546.375</v>
          </cell>
          <cell r="L91">
            <v>60.587009451578929</v>
          </cell>
        </row>
      </sheetData>
      <sheetData sheetId="3">
        <row r="1">
          <cell r="B1" t="str">
            <v>die roten Werte sind Cal Dez-2006; alle anderen Dez-2002</v>
          </cell>
        </row>
        <row r="2">
          <cell r="B2" t="str">
            <v>EAM5</v>
          </cell>
          <cell r="I2" t="str">
            <v>Vinculum C298-2</v>
          </cell>
        </row>
        <row r="3">
          <cell r="B3" t="str">
            <v>eps</v>
          </cell>
          <cell r="E3" t="str">
            <v>eff. degree</v>
          </cell>
          <cell r="F3" t="str">
            <v>u(eps)</v>
          </cell>
          <cell r="K3" t="str">
            <v>correction</v>
          </cell>
          <cell r="L3" t="str">
            <v>U(correction)</v>
          </cell>
        </row>
        <row r="4">
          <cell r="B4" t="str">
            <v>A / W</v>
          </cell>
          <cell r="E4" t="str">
            <v>freedom</v>
          </cell>
          <cell r="F4" t="str">
            <v>rel</v>
          </cell>
          <cell r="I4" t="str">
            <v>Range</v>
          </cell>
          <cell r="J4" t="str">
            <v>Preamp</v>
          </cell>
          <cell r="K4" t="str">
            <v>ppm</v>
          </cell>
          <cell r="L4" t="str">
            <v>ppm</v>
          </cell>
        </row>
        <row r="5">
          <cell r="B5">
            <v>0.22600999999999999</v>
          </cell>
          <cell r="E5">
            <v>21</v>
          </cell>
          <cell r="F5">
            <v>1.5E-3</v>
          </cell>
          <cell r="I5">
            <v>1</v>
          </cell>
          <cell r="J5">
            <v>1</v>
          </cell>
          <cell r="K5">
            <v>0</v>
          </cell>
          <cell r="L5">
            <v>0</v>
          </cell>
        </row>
        <row r="6">
          <cell r="B6">
            <v>0.22220000000000001</v>
          </cell>
          <cell r="E6" t="str">
            <v>Inf</v>
          </cell>
          <cell r="F6">
            <v>1.714285714285714E-3</v>
          </cell>
          <cell r="I6">
            <v>1</v>
          </cell>
          <cell r="J6">
            <v>1</v>
          </cell>
          <cell r="K6">
            <v>0</v>
          </cell>
          <cell r="L6">
            <v>0</v>
          </cell>
        </row>
        <row r="7">
          <cell r="B7">
            <v>0.21809999999999999</v>
          </cell>
          <cell r="E7">
            <v>23</v>
          </cell>
          <cell r="F7">
            <v>1.5909090909090905E-3</v>
          </cell>
          <cell r="I7">
            <v>1</v>
          </cell>
          <cell r="J7">
            <v>1</v>
          </cell>
          <cell r="K7">
            <v>0</v>
          </cell>
          <cell r="L7">
            <v>0</v>
          </cell>
        </row>
        <row r="8">
          <cell r="B8">
            <v>0.2135</v>
          </cell>
          <cell r="E8" t="str">
            <v>Inf</v>
          </cell>
          <cell r="F8">
            <v>1.8571428571428571E-3</v>
          </cell>
          <cell r="I8">
            <v>1</v>
          </cell>
          <cell r="J8">
            <v>1</v>
          </cell>
          <cell r="K8">
            <v>0</v>
          </cell>
          <cell r="L8">
            <v>0</v>
          </cell>
        </row>
        <row r="9">
          <cell r="B9">
            <v>0.22090000000000001</v>
          </cell>
          <cell r="E9" t="str">
            <v>Inf</v>
          </cell>
          <cell r="F9">
            <v>1.8095238095238095E-3</v>
          </cell>
          <cell r="I9">
            <v>1</v>
          </cell>
          <cell r="J9">
            <v>1</v>
          </cell>
          <cell r="K9">
            <v>0</v>
          </cell>
          <cell r="L9">
            <v>0</v>
          </cell>
        </row>
        <row r="10">
          <cell r="B10">
            <v>0.2351</v>
          </cell>
          <cell r="E10" t="str">
            <v>Inf</v>
          </cell>
          <cell r="F10">
            <v>1.714285714285714E-3</v>
          </cell>
          <cell r="I10">
            <v>1</v>
          </cell>
          <cell r="J10">
            <v>1</v>
          </cell>
          <cell r="K10">
            <v>0</v>
          </cell>
          <cell r="L10">
            <v>0</v>
          </cell>
        </row>
        <row r="11">
          <cell r="B11">
            <v>0.24229999999999999</v>
          </cell>
          <cell r="E11" t="str">
            <v>Inf</v>
          </cell>
          <cell r="F11">
            <v>1.714285714285714E-3</v>
          </cell>
          <cell r="I11">
            <v>10000000</v>
          </cell>
          <cell r="J11">
            <v>100</v>
          </cell>
          <cell r="K11">
            <v>1967.5</v>
          </cell>
          <cell r="L11">
            <v>147.90923857941686</v>
          </cell>
        </row>
        <row r="12">
          <cell r="B12">
            <v>0.24629999999999999</v>
          </cell>
          <cell r="E12" t="str">
            <v>Inf</v>
          </cell>
          <cell r="F12">
            <v>1.7619047619047618E-3</v>
          </cell>
          <cell r="I12">
            <v>10000000</v>
          </cell>
          <cell r="J12">
            <v>100</v>
          </cell>
          <cell r="K12">
            <v>1967.5</v>
          </cell>
          <cell r="L12">
            <v>147.90923857941686</v>
          </cell>
        </row>
        <row r="13">
          <cell r="B13">
            <v>0.25130000000000002</v>
          </cell>
          <cell r="E13" t="str">
            <v>Inf</v>
          </cell>
          <cell r="F13">
            <v>1.9047619047619048E-3</v>
          </cell>
          <cell r="I13">
            <v>10000000</v>
          </cell>
          <cell r="J13">
            <v>100</v>
          </cell>
          <cell r="K13">
            <v>1967.5</v>
          </cell>
          <cell r="L13">
            <v>147.90923857941686</v>
          </cell>
        </row>
        <row r="14">
          <cell r="B14">
            <v>0.25719999999999998</v>
          </cell>
          <cell r="E14" t="str">
            <v>Inf</v>
          </cell>
          <cell r="F14">
            <v>1.714285714285714E-3</v>
          </cell>
          <cell r="I14">
            <v>10000000</v>
          </cell>
          <cell r="J14">
            <v>100</v>
          </cell>
          <cell r="K14">
            <v>1967.5</v>
          </cell>
          <cell r="L14">
            <v>147.90923857941686</v>
          </cell>
        </row>
        <row r="15">
          <cell r="B15">
            <v>0.26369999999999999</v>
          </cell>
          <cell r="E15" t="str">
            <v>Inf</v>
          </cell>
          <cell r="F15">
            <v>1.7619047619047618E-3</v>
          </cell>
          <cell r="I15">
            <v>10000000</v>
          </cell>
          <cell r="J15">
            <v>100</v>
          </cell>
          <cell r="K15">
            <v>1967.5</v>
          </cell>
          <cell r="L15">
            <v>147.90923857941686</v>
          </cell>
        </row>
        <row r="16">
          <cell r="B16">
            <v>0.27060000000000001</v>
          </cell>
          <cell r="E16" t="str">
            <v>Inf</v>
          </cell>
          <cell r="F16">
            <v>1.8571428571428571E-3</v>
          </cell>
          <cell r="I16">
            <v>10000000</v>
          </cell>
          <cell r="J16">
            <v>100</v>
          </cell>
          <cell r="K16">
            <v>1967.5</v>
          </cell>
          <cell r="L16">
            <v>147.90923857941686</v>
          </cell>
        </row>
        <row r="17">
          <cell r="B17">
            <v>0.27550000000000002</v>
          </cell>
          <cell r="E17" t="str">
            <v>Inf</v>
          </cell>
          <cell r="F17">
            <v>1.7619047619047618E-3</v>
          </cell>
          <cell r="I17">
            <v>10000000</v>
          </cell>
          <cell r="J17">
            <v>100</v>
          </cell>
          <cell r="K17">
            <v>1967.5</v>
          </cell>
          <cell r="L17">
            <v>147.90923857941686</v>
          </cell>
        </row>
        <row r="18">
          <cell r="B18">
            <v>0.28239999999999998</v>
          </cell>
          <cell r="E18" t="str">
            <v>Inf</v>
          </cell>
          <cell r="F18">
            <v>1.8095238095238095E-3</v>
          </cell>
          <cell r="I18">
            <v>10000000</v>
          </cell>
          <cell r="J18">
            <v>100</v>
          </cell>
          <cell r="K18">
            <v>1967.5</v>
          </cell>
          <cell r="L18">
            <v>147.90923857941686</v>
          </cell>
        </row>
        <row r="19">
          <cell r="B19">
            <v>0.29260000000000003</v>
          </cell>
          <cell r="E19" t="str">
            <v>Inf</v>
          </cell>
          <cell r="F19">
            <v>1.7619047619047618E-3</v>
          </cell>
          <cell r="I19">
            <v>10000000</v>
          </cell>
          <cell r="J19">
            <v>10</v>
          </cell>
          <cell r="K19">
            <v>1310</v>
          </cell>
          <cell r="L19">
            <v>63.037403862423503</v>
          </cell>
        </row>
        <row r="20">
          <cell r="B20">
            <v>0.30449999999999999</v>
          </cell>
          <cell r="E20" t="str">
            <v>Inf</v>
          </cell>
          <cell r="F20">
            <v>9.5238095238095238E-4</v>
          </cell>
          <cell r="I20">
            <v>10000000</v>
          </cell>
          <cell r="J20">
            <v>10</v>
          </cell>
          <cell r="K20">
            <v>1310</v>
          </cell>
          <cell r="L20">
            <v>63.037403862423503</v>
          </cell>
        </row>
        <row r="21">
          <cell r="B21">
            <v>0.31340000000000001</v>
          </cell>
          <cell r="E21" t="str">
            <v>Inf</v>
          </cell>
          <cell r="F21">
            <v>9.5238095238095238E-4</v>
          </cell>
          <cell r="I21">
            <v>10000000</v>
          </cell>
          <cell r="J21">
            <v>10</v>
          </cell>
          <cell r="K21">
            <v>1310</v>
          </cell>
          <cell r="L21">
            <v>63.037403862423503</v>
          </cell>
        </row>
        <row r="22">
          <cell r="B22">
            <v>0.32250000000000001</v>
          </cell>
          <cell r="E22" t="str">
            <v>Inf</v>
          </cell>
          <cell r="F22">
            <v>8.0952380952380957E-4</v>
          </cell>
          <cell r="I22">
            <v>10000000</v>
          </cell>
          <cell r="J22">
            <v>10</v>
          </cell>
          <cell r="K22">
            <v>1310</v>
          </cell>
          <cell r="L22">
            <v>63.037403862423503</v>
          </cell>
        </row>
        <row r="23">
          <cell r="B23">
            <v>0.33160000000000001</v>
          </cell>
          <cell r="E23" t="str">
            <v>Inf</v>
          </cell>
          <cell r="F23">
            <v>8.0952380952380957E-4</v>
          </cell>
          <cell r="I23">
            <v>10000000</v>
          </cell>
          <cell r="J23">
            <v>10</v>
          </cell>
          <cell r="K23">
            <v>1310</v>
          </cell>
          <cell r="L23">
            <v>63.037403862423503</v>
          </cell>
        </row>
        <row r="24">
          <cell r="B24">
            <v>0.34039999999999998</v>
          </cell>
          <cell r="E24" t="str">
            <v>Inf</v>
          </cell>
          <cell r="F24">
            <v>8.0952380952380957E-4</v>
          </cell>
          <cell r="I24">
            <v>10000000</v>
          </cell>
          <cell r="J24">
            <v>10</v>
          </cell>
          <cell r="K24">
            <v>1310</v>
          </cell>
          <cell r="L24">
            <v>63.037403862423503</v>
          </cell>
        </row>
        <row r="25">
          <cell r="B25">
            <v>0.34899999999999998</v>
          </cell>
          <cell r="E25" t="str">
            <v>Inf</v>
          </cell>
          <cell r="F25">
            <v>8.5000000000000006E-4</v>
          </cell>
          <cell r="I25">
            <v>10000000</v>
          </cell>
          <cell r="J25">
            <v>10</v>
          </cell>
          <cell r="K25">
            <v>1310</v>
          </cell>
          <cell r="L25">
            <v>63.037403862423503</v>
          </cell>
        </row>
        <row r="26">
          <cell r="B26">
            <v>0.35749999999999998</v>
          </cell>
          <cell r="E26" t="str">
            <v>Inf</v>
          </cell>
          <cell r="F26">
            <v>6.4999999999999997E-4</v>
          </cell>
          <cell r="I26">
            <v>10000000</v>
          </cell>
          <cell r="J26">
            <v>10</v>
          </cell>
          <cell r="K26">
            <v>1310</v>
          </cell>
          <cell r="L26">
            <v>63.037403862423503</v>
          </cell>
        </row>
        <row r="27">
          <cell r="B27">
            <v>0.36698999999999998</v>
          </cell>
          <cell r="E27" t="str">
            <v>Inf</v>
          </cell>
          <cell r="F27">
            <v>5.5000000000000003E-4</v>
          </cell>
          <cell r="I27">
            <v>10000000</v>
          </cell>
          <cell r="J27">
            <v>10</v>
          </cell>
          <cell r="K27">
            <v>1310</v>
          </cell>
          <cell r="L27">
            <v>63.037403862423503</v>
          </cell>
        </row>
        <row r="28">
          <cell r="B28">
            <v>0.37528</v>
          </cell>
          <cell r="E28" t="str">
            <v>Inf</v>
          </cell>
          <cell r="F28">
            <v>3.8095238095238091E-4</v>
          </cell>
          <cell r="I28">
            <v>10000000</v>
          </cell>
          <cell r="J28">
            <v>10</v>
          </cell>
          <cell r="K28">
            <v>1310</v>
          </cell>
          <cell r="L28">
            <v>63.037403862423503</v>
          </cell>
        </row>
        <row r="29">
          <cell r="B29">
            <v>0.38353999999999999</v>
          </cell>
          <cell r="E29" t="str">
            <v>Inf</v>
          </cell>
          <cell r="F29">
            <v>3.8095238095238091E-4</v>
          </cell>
          <cell r="I29">
            <v>1000000</v>
          </cell>
          <cell r="J29">
            <v>10</v>
          </cell>
          <cell r="K29">
            <v>1398.875</v>
          </cell>
          <cell r="L29">
            <v>62.741533293345647</v>
          </cell>
        </row>
        <row r="30">
          <cell r="B30">
            <v>0.39179000000000003</v>
          </cell>
          <cell r="E30" t="str">
            <v>Inf</v>
          </cell>
          <cell r="F30">
            <v>3.8095238095238091E-4</v>
          </cell>
          <cell r="I30">
            <v>1000000</v>
          </cell>
          <cell r="J30">
            <v>10</v>
          </cell>
          <cell r="K30">
            <v>1398.875</v>
          </cell>
          <cell r="L30">
            <v>62.741533293345647</v>
          </cell>
        </row>
        <row r="31">
          <cell r="B31">
            <v>0.4</v>
          </cell>
          <cell r="E31" t="str">
            <v>Inf</v>
          </cell>
          <cell r="F31">
            <v>3.8095238095238091E-4</v>
          </cell>
          <cell r="I31">
            <v>1000000</v>
          </cell>
          <cell r="J31">
            <v>10</v>
          </cell>
          <cell r="K31">
            <v>1398.875</v>
          </cell>
          <cell r="L31">
            <v>62.741533293345647</v>
          </cell>
        </row>
        <row r="32">
          <cell r="B32">
            <v>0.40822000000000003</v>
          </cell>
          <cell r="E32" t="str">
            <v>Inf</v>
          </cell>
          <cell r="F32">
            <v>3.8095238095238091E-4</v>
          </cell>
          <cell r="I32">
            <v>1000000</v>
          </cell>
          <cell r="J32">
            <v>10</v>
          </cell>
          <cell r="K32">
            <v>1398.875</v>
          </cell>
          <cell r="L32">
            <v>62.741533293345647</v>
          </cell>
        </row>
        <row r="33">
          <cell r="B33">
            <v>0.41643000000000002</v>
          </cell>
          <cell r="E33" t="str">
            <v>Inf</v>
          </cell>
          <cell r="F33">
            <v>3.8095238095238091E-4</v>
          </cell>
          <cell r="I33">
            <v>1000000</v>
          </cell>
          <cell r="J33">
            <v>10</v>
          </cell>
          <cell r="K33">
            <v>1398.875</v>
          </cell>
          <cell r="L33">
            <v>62.741533293345647</v>
          </cell>
        </row>
        <row r="34">
          <cell r="B34">
            <v>0.42462</v>
          </cell>
          <cell r="E34" t="str">
            <v>Inf</v>
          </cell>
          <cell r="F34">
            <v>3.8095238095238091E-4</v>
          </cell>
          <cell r="I34">
            <v>1000000</v>
          </cell>
          <cell r="J34">
            <v>10</v>
          </cell>
          <cell r="K34">
            <v>1398.875</v>
          </cell>
          <cell r="L34">
            <v>62.741533293345647</v>
          </cell>
        </row>
        <row r="35">
          <cell r="B35">
            <v>0.43280999999999997</v>
          </cell>
          <cell r="E35" t="str">
            <v>Inf</v>
          </cell>
          <cell r="F35">
            <v>3.8095238095238091E-4</v>
          </cell>
          <cell r="I35">
            <v>1000000</v>
          </cell>
          <cell r="J35">
            <v>10</v>
          </cell>
          <cell r="K35">
            <v>1398.875</v>
          </cell>
          <cell r="L35">
            <v>62.741533293345647</v>
          </cell>
        </row>
        <row r="36">
          <cell r="B36">
            <v>0.44097999999999998</v>
          </cell>
          <cell r="E36" t="str">
            <v>Inf</v>
          </cell>
          <cell r="F36">
            <v>3.8095238095238091E-4</v>
          </cell>
          <cell r="I36">
            <v>1000000</v>
          </cell>
          <cell r="J36">
            <v>10</v>
          </cell>
          <cell r="K36">
            <v>1398.875</v>
          </cell>
          <cell r="L36">
            <v>62.741533293345647</v>
          </cell>
        </row>
        <row r="37">
          <cell r="B37">
            <v>0.44916</v>
          </cell>
          <cell r="E37" t="str">
            <v>Inf</v>
          </cell>
          <cell r="F37">
            <v>3.8095238095238091E-4</v>
          </cell>
          <cell r="I37">
            <v>1000000</v>
          </cell>
          <cell r="J37">
            <v>10</v>
          </cell>
          <cell r="K37">
            <v>1398.875</v>
          </cell>
          <cell r="L37">
            <v>62.741533293345647</v>
          </cell>
        </row>
        <row r="38">
          <cell r="B38">
            <v>0.45730999999999999</v>
          </cell>
          <cell r="E38" t="str">
            <v>Inf</v>
          </cell>
          <cell r="F38">
            <v>3.8095238095238091E-4</v>
          </cell>
          <cell r="I38">
            <v>1000000</v>
          </cell>
          <cell r="J38">
            <v>10</v>
          </cell>
          <cell r="K38">
            <v>1398.875</v>
          </cell>
          <cell r="L38">
            <v>62.741533293345647</v>
          </cell>
        </row>
        <row r="39">
          <cell r="B39">
            <v>0.46544999999999997</v>
          </cell>
          <cell r="E39" t="str">
            <v>Inf</v>
          </cell>
          <cell r="F39">
            <v>3.8095238095238091E-4</v>
          </cell>
          <cell r="I39">
            <v>1000000</v>
          </cell>
          <cell r="J39">
            <v>10</v>
          </cell>
          <cell r="K39">
            <v>1398.875</v>
          </cell>
          <cell r="L39">
            <v>62.741533293345647</v>
          </cell>
        </row>
        <row r="40">
          <cell r="B40">
            <v>0.47358</v>
          </cell>
          <cell r="E40" t="str">
            <v>Inf</v>
          </cell>
          <cell r="F40">
            <v>3.8095238095238091E-4</v>
          </cell>
          <cell r="I40">
            <v>1000000</v>
          </cell>
          <cell r="J40">
            <v>10</v>
          </cell>
          <cell r="K40">
            <v>1398.875</v>
          </cell>
          <cell r="L40">
            <v>62.741533293345647</v>
          </cell>
        </row>
        <row r="41">
          <cell r="B41">
            <v>0.48170000000000002</v>
          </cell>
          <cell r="E41" t="str">
            <v>Inf</v>
          </cell>
          <cell r="F41">
            <v>3.8095238095238091E-4</v>
          </cell>
          <cell r="I41">
            <v>1000000</v>
          </cell>
          <cell r="J41">
            <v>10</v>
          </cell>
          <cell r="K41">
            <v>1398.875</v>
          </cell>
          <cell r="L41">
            <v>62.741533293345647</v>
          </cell>
        </row>
        <row r="42">
          <cell r="B42">
            <v>0.48979</v>
          </cell>
          <cell r="E42" t="str">
            <v>Inf</v>
          </cell>
          <cell r="F42">
            <v>3.8095238095238091E-4</v>
          </cell>
          <cell r="I42">
            <v>1000000</v>
          </cell>
          <cell r="J42">
            <v>10</v>
          </cell>
          <cell r="K42">
            <v>1398.875</v>
          </cell>
          <cell r="L42">
            <v>62.741533293345647</v>
          </cell>
        </row>
        <row r="43">
          <cell r="B43">
            <v>0.49787999999999999</v>
          </cell>
          <cell r="E43" t="str">
            <v>Inf</v>
          </cell>
          <cell r="F43">
            <v>3.8095238095238091E-4</v>
          </cell>
          <cell r="I43">
            <v>1000000</v>
          </cell>
          <cell r="J43">
            <v>10</v>
          </cell>
          <cell r="K43">
            <v>1398.875</v>
          </cell>
          <cell r="L43">
            <v>62.741533293345647</v>
          </cell>
        </row>
        <row r="44">
          <cell r="B44">
            <v>0.50595999999999997</v>
          </cell>
          <cell r="E44" t="str">
            <v>Inf</v>
          </cell>
          <cell r="F44">
            <v>3.8095238095238091E-4</v>
          </cell>
          <cell r="I44">
            <v>1000000</v>
          </cell>
          <cell r="J44">
            <v>10</v>
          </cell>
          <cell r="K44">
            <v>1398.875</v>
          </cell>
          <cell r="L44">
            <v>62.741533293345647</v>
          </cell>
        </row>
        <row r="45">
          <cell r="B45">
            <v>0.51402999999999999</v>
          </cell>
          <cell r="E45" t="str">
            <v>Inf</v>
          </cell>
          <cell r="F45">
            <v>3.8095238095238091E-4</v>
          </cell>
          <cell r="I45">
            <v>1000000</v>
          </cell>
          <cell r="J45">
            <v>10</v>
          </cell>
          <cell r="K45">
            <v>1398.875</v>
          </cell>
          <cell r="L45">
            <v>62.741533293345647</v>
          </cell>
        </row>
        <row r="46">
          <cell r="B46">
            <v>0.52209000000000005</v>
          </cell>
          <cell r="E46" t="str">
            <v>Inf</v>
          </cell>
          <cell r="F46">
            <v>3.8095238095238091E-4</v>
          </cell>
          <cell r="I46">
            <v>1000000</v>
          </cell>
          <cell r="J46">
            <v>10</v>
          </cell>
          <cell r="K46">
            <v>1398.875</v>
          </cell>
          <cell r="L46">
            <v>62.741533293345647</v>
          </cell>
        </row>
        <row r="47">
          <cell r="B47">
            <v>0.53015000000000001</v>
          </cell>
          <cell r="E47" t="str">
            <v>Inf</v>
          </cell>
          <cell r="F47">
            <v>3.8095238095238091E-4</v>
          </cell>
          <cell r="I47">
            <v>1000000</v>
          </cell>
          <cell r="J47">
            <v>10</v>
          </cell>
          <cell r="K47">
            <v>1398.875</v>
          </cell>
          <cell r="L47">
            <v>62.741533293345647</v>
          </cell>
        </row>
        <row r="48">
          <cell r="B48">
            <v>0.53820000000000001</v>
          </cell>
          <cell r="E48" t="str">
            <v>Inf</v>
          </cell>
          <cell r="F48">
            <v>3.8095238095238091E-4</v>
          </cell>
          <cell r="I48">
            <v>1000000</v>
          </cell>
          <cell r="J48">
            <v>10</v>
          </cell>
          <cell r="K48">
            <v>1398.875</v>
          </cell>
          <cell r="L48">
            <v>62.741533293345647</v>
          </cell>
        </row>
        <row r="49">
          <cell r="B49">
            <v>0.54627000000000003</v>
          </cell>
          <cell r="E49" t="str">
            <v>Inf</v>
          </cell>
          <cell r="F49">
            <v>3.8095238095238091E-4</v>
          </cell>
          <cell r="I49">
            <v>1000000</v>
          </cell>
          <cell r="J49">
            <v>10</v>
          </cell>
          <cell r="K49">
            <v>1398.875</v>
          </cell>
          <cell r="L49">
            <v>62.741533293345647</v>
          </cell>
        </row>
        <row r="50">
          <cell r="B50">
            <v>0.55432999999999999</v>
          </cell>
          <cell r="E50" t="str">
            <v>Inf</v>
          </cell>
          <cell r="F50">
            <v>3.8095238095238091E-4</v>
          </cell>
          <cell r="I50">
            <v>1000000</v>
          </cell>
          <cell r="J50">
            <v>10</v>
          </cell>
          <cell r="K50">
            <v>1398.875</v>
          </cell>
          <cell r="L50">
            <v>62.741533293345647</v>
          </cell>
        </row>
        <row r="51">
          <cell r="B51">
            <v>0.56237000000000004</v>
          </cell>
          <cell r="E51" t="str">
            <v>Inf</v>
          </cell>
          <cell r="F51">
            <v>3.8095238095238091E-4</v>
          </cell>
          <cell r="I51">
            <v>1000000</v>
          </cell>
          <cell r="J51">
            <v>10</v>
          </cell>
          <cell r="K51">
            <v>1398.875</v>
          </cell>
          <cell r="L51">
            <v>62.741533293345647</v>
          </cell>
        </row>
        <row r="52">
          <cell r="B52">
            <v>0.57043999999999995</v>
          </cell>
          <cell r="E52" t="str">
            <v>Inf</v>
          </cell>
          <cell r="F52">
            <v>3.8095238095238091E-4</v>
          </cell>
          <cell r="I52">
            <v>1000000</v>
          </cell>
          <cell r="J52">
            <v>10</v>
          </cell>
          <cell r="K52">
            <v>1398.875</v>
          </cell>
          <cell r="L52">
            <v>62.741533293345647</v>
          </cell>
        </row>
        <row r="53">
          <cell r="B53">
            <v>0.57847999999999999</v>
          </cell>
          <cell r="E53" t="str">
            <v>Inf</v>
          </cell>
          <cell r="F53">
            <v>3.8095238095238091E-4</v>
          </cell>
          <cell r="I53">
            <v>1000000</v>
          </cell>
          <cell r="J53">
            <v>10</v>
          </cell>
          <cell r="K53">
            <v>1398.875</v>
          </cell>
          <cell r="L53">
            <v>62.741533293345647</v>
          </cell>
        </row>
        <row r="54">
          <cell r="B54">
            <v>0.58650999999999998</v>
          </cell>
          <cell r="E54" t="str">
            <v>Inf</v>
          </cell>
          <cell r="F54">
            <v>3.8095238095238091E-4</v>
          </cell>
          <cell r="I54">
            <v>1000000</v>
          </cell>
          <cell r="J54">
            <v>10</v>
          </cell>
          <cell r="K54">
            <v>1398.875</v>
          </cell>
          <cell r="L54">
            <v>62.741533293345647</v>
          </cell>
        </row>
        <row r="55">
          <cell r="B55">
            <v>0.59455999999999998</v>
          </cell>
          <cell r="E55" t="str">
            <v>Inf</v>
          </cell>
          <cell r="F55">
            <v>3.8095238095238091E-4</v>
          </cell>
          <cell r="I55">
            <v>1000000</v>
          </cell>
          <cell r="J55">
            <v>10</v>
          </cell>
          <cell r="K55">
            <v>1398.875</v>
          </cell>
          <cell r="L55">
            <v>62.741533293345647</v>
          </cell>
        </row>
        <row r="56">
          <cell r="B56">
            <v>0.60260999999999998</v>
          </cell>
          <cell r="E56" t="str">
            <v>Inf</v>
          </cell>
          <cell r="F56">
            <v>3.8095238095238091E-4</v>
          </cell>
          <cell r="I56">
            <v>1000000</v>
          </cell>
          <cell r="J56">
            <v>10</v>
          </cell>
          <cell r="K56">
            <v>1398.875</v>
          </cell>
          <cell r="L56">
            <v>62.741533293345647</v>
          </cell>
        </row>
        <row r="57">
          <cell r="B57">
            <v>0.61063999999999996</v>
          </cell>
          <cell r="E57" t="str">
            <v>Inf</v>
          </cell>
          <cell r="F57">
            <v>3.8095238095238091E-4</v>
          </cell>
          <cell r="I57">
            <v>1000000</v>
          </cell>
          <cell r="J57">
            <v>10</v>
          </cell>
          <cell r="K57">
            <v>1398.875</v>
          </cell>
          <cell r="L57">
            <v>62.741533293345647</v>
          </cell>
        </row>
        <row r="58">
          <cell r="B58">
            <v>0.61865999999999999</v>
          </cell>
          <cell r="E58" t="str">
            <v>Inf</v>
          </cell>
          <cell r="F58">
            <v>3.8095238095238091E-4</v>
          </cell>
          <cell r="I58">
            <v>1000000</v>
          </cell>
          <cell r="J58">
            <v>10</v>
          </cell>
          <cell r="K58">
            <v>1398.875</v>
          </cell>
          <cell r="L58">
            <v>62.741533293345647</v>
          </cell>
        </row>
        <row r="59">
          <cell r="B59">
            <v>0.62668000000000001</v>
          </cell>
          <cell r="E59" t="str">
            <v>Inf</v>
          </cell>
          <cell r="F59">
            <v>3.8095238095238091E-4</v>
          </cell>
          <cell r="I59">
            <v>1000000</v>
          </cell>
          <cell r="J59">
            <v>10</v>
          </cell>
          <cell r="K59">
            <v>1398.875</v>
          </cell>
          <cell r="L59">
            <v>62.741533293345647</v>
          </cell>
        </row>
        <row r="60">
          <cell r="B60">
            <v>0.63470000000000004</v>
          </cell>
          <cell r="E60" t="str">
            <v>Inf</v>
          </cell>
          <cell r="F60">
            <v>3.8095238095238091E-4</v>
          </cell>
          <cell r="I60">
            <v>1000000</v>
          </cell>
          <cell r="J60">
            <v>10</v>
          </cell>
          <cell r="K60">
            <v>1398.875</v>
          </cell>
          <cell r="L60">
            <v>62.741533293345647</v>
          </cell>
        </row>
        <row r="61">
          <cell r="B61">
            <v>0.64273000000000002</v>
          </cell>
          <cell r="E61" t="str">
            <v>Inf</v>
          </cell>
          <cell r="F61">
            <v>3.8095238095238091E-4</v>
          </cell>
          <cell r="I61">
            <v>1000000</v>
          </cell>
          <cell r="J61">
            <v>10</v>
          </cell>
          <cell r="K61">
            <v>1398.875</v>
          </cell>
          <cell r="L61">
            <v>62.741533293345647</v>
          </cell>
        </row>
        <row r="62">
          <cell r="B62">
            <v>0.65073999999999999</v>
          </cell>
          <cell r="E62" t="str">
            <v>Inf</v>
          </cell>
          <cell r="F62">
            <v>3.8095238095238091E-4</v>
          </cell>
          <cell r="I62">
            <v>1000000</v>
          </cell>
          <cell r="J62">
            <v>10</v>
          </cell>
          <cell r="K62">
            <v>1398.875</v>
          </cell>
          <cell r="L62">
            <v>62.741533293345647</v>
          </cell>
        </row>
        <row r="63">
          <cell r="B63">
            <v>0.65871999999999997</v>
          </cell>
          <cell r="E63" t="str">
            <v>Inf</v>
          </cell>
          <cell r="F63">
            <v>3.8095238095238091E-4</v>
          </cell>
          <cell r="I63">
            <v>1000000</v>
          </cell>
          <cell r="J63">
            <v>10</v>
          </cell>
          <cell r="K63">
            <v>1398.875</v>
          </cell>
          <cell r="L63">
            <v>62.741533293345647</v>
          </cell>
        </row>
        <row r="64">
          <cell r="B64">
            <v>0.66671999999999998</v>
          </cell>
          <cell r="E64" t="str">
            <v>Inf</v>
          </cell>
          <cell r="F64">
            <v>3.8095238095238091E-4</v>
          </cell>
          <cell r="I64">
            <v>1000000</v>
          </cell>
          <cell r="J64">
            <v>10</v>
          </cell>
          <cell r="K64">
            <v>1398.875</v>
          </cell>
          <cell r="L64">
            <v>62.741533293345647</v>
          </cell>
        </row>
        <row r="65">
          <cell r="B65">
            <v>0.67473000000000005</v>
          </cell>
          <cell r="E65" t="str">
            <v>Inf</v>
          </cell>
          <cell r="F65">
            <v>3.8095238095238091E-4</v>
          </cell>
          <cell r="I65">
            <v>1000000</v>
          </cell>
          <cell r="J65">
            <v>10</v>
          </cell>
          <cell r="K65">
            <v>1398.875</v>
          </cell>
          <cell r="L65">
            <v>62.741533293345647</v>
          </cell>
        </row>
        <row r="66">
          <cell r="B66">
            <v>0.68269999999999997</v>
          </cell>
          <cell r="E66" t="str">
            <v>Inf</v>
          </cell>
          <cell r="F66">
            <v>3.8095238095238091E-4</v>
          </cell>
          <cell r="I66">
            <v>1000000</v>
          </cell>
          <cell r="J66">
            <v>10</v>
          </cell>
          <cell r="K66">
            <v>1398.875</v>
          </cell>
          <cell r="L66">
            <v>62.741533293345647</v>
          </cell>
        </row>
        <row r="67">
          <cell r="B67">
            <v>0.69069999999999998</v>
          </cell>
          <cell r="E67" t="str">
            <v>Inf</v>
          </cell>
          <cell r="F67">
            <v>3.8095238095238091E-4</v>
          </cell>
          <cell r="I67">
            <v>1000000</v>
          </cell>
          <cell r="J67">
            <v>10</v>
          </cell>
          <cell r="K67">
            <v>1398.875</v>
          </cell>
          <cell r="L67">
            <v>62.741533293345647</v>
          </cell>
        </row>
        <row r="68">
          <cell r="B68">
            <v>0.69862000000000002</v>
          </cell>
          <cell r="E68" t="str">
            <v>Inf</v>
          </cell>
          <cell r="F68">
            <v>3.8095238095238091E-4</v>
          </cell>
          <cell r="I68">
            <v>1000000</v>
          </cell>
          <cell r="J68">
            <v>10</v>
          </cell>
          <cell r="K68">
            <v>1398.875</v>
          </cell>
          <cell r="L68">
            <v>62.741533293345647</v>
          </cell>
        </row>
        <row r="69">
          <cell r="B69">
            <v>0.70657999999999999</v>
          </cell>
          <cell r="E69" t="str">
            <v>Inf</v>
          </cell>
          <cell r="F69">
            <v>3.8095238095238091E-4</v>
          </cell>
          <cell r="I69">
            <v>1000000</v>
          </cell>
          <cell r="J69">
            <v>10</v>
          </cell>
          <cell r="K69">
            <v>1398.875</v>
          </cell>
          <cell r="L69">
            <v>62.741533293345647</v>
          </cell>
        </row>
        <row r="70">
          <cell r="B70">
            <v>0.71448999999999996</v>
          </cell>
          <cell r="E70" t="str">
            <v>Inf</v>
          </cell>
          <cell r="F70">
            <v>3.8095238095238091E-4</v>
          </cell>
          <cell r="I70">
            <v>1000000</v>
          </cell>
          <cell r="J70">
            <v>10</v>
          </cell>
          <cell r="K70">
            <v>1398.875</v>
          </cell>
          <cell r="L70">
            <v>62.741533293345647</v>
          </cell>
        </row>
        <row r="71">
          <cell r="B71">
            <v>0.72233000000000003</v>
          </cell>
          <cell r="E71" t="str">
            <v>Inf</v>
          </cell>
          <cell r="F71">
            <v>3.8095238095238091E-4</v>
          </cell>
          <cell r="I71">
            <v>1000000</v>
          </cell>
          <cell r="J71">
            <v>10</v>
          </cell>
          <cell r="K71">
            <v>1398.875</v>
          </cell>
          <cell r="L71">
            <v>62.741533293345647</v>
          </cell>
        </row>
        <row r="72">
          <cell r="B72">
            <v>0.73004999999999998</v>
          </cell>
          <cell r="E72" t="str">
            <v>Inf</v>
          </cell>
          <cell r="F72">
            <v>3.8095238095238091E-4</v>
          </cell>
          <cell r="I72">
            <v>1000000</v>
          </cell>
          <cell r="J72">
            <v>10</v>
          </cell>
          <cell r="K72">
            <v>1398.875</v>
          </cell>
          <cell r="L72">
            <v>62.741533293345647</v>
          </cell>
        </row>
        <row r="73">
          <cell r="B73">
            <v>0.73748999999999998</v>
          </cell>
          <cell r="E73" t="str">
            <v>Inf</v>
          </cell>
          <cell r="F73">
            <v>3.8095238095238091E-4</v>
          </cell>
          <cell r="I73">
            <v>1000000</v>
          </cell>
          <cell r="J73">
            <v>10</v>
          </cell>
          <cell r="K73">
            <v>1398.875</v>
          </cell>
          <cell r="L73">
            <v>62.741533293345647</v>
          </cell>
        </row>
        <row r="74">
          <cell r="B74">
            <v>0.74312</v>
          </cell>
          <cell r="E74">
            <v>4</v>
          </cell>
          <cell r="F74">
            <v>1.1818181818181819E-3</v>
          </cell>
          <cell r="I74">
            <v>1000000</v>
          </cell>
          <cell r="J74">
            <v>10</v>
          </cell>
          <cell r="K74">
            <v>1398.875</v>
          </cell>
          <cell r="L74">
            <v>62.741533293345647</v>
          </cell>
        </row>
        <row r="75">
          <cell r="B75">
            <v>0.74926000000000004</v>
          </cell>
          <cell r="E75">
            <v>9</v>
          </cell>
          <cell r="F75">
            <v>1.8749999999999999E-3</v>
          </cell>
          <cell r="I75">
            <v>1000000</v>
          </cell>
          <cell r="J75">
            <v>10</v>
          </cell>
          <cell r="K75">
            <v>1398.875</v>
          </cell>
          <cell r="L75">
            <v>62.741533293345647</v>
          </cell>
        </row>
        <row r="76">
          <cell r="B76">
            <v>0.75156000000000001</v>
          </cell>
          <cell r="E76">
            <v>8</v>
          </cell>
          <cell r="F76">
            <v>1.9599999999999999E-3</v>
          </cell>
          <cell r="I76">
            <v>1000000</v>
          </cell>
          <cell r="J76">
            <v>10</v>
          </cell>
          <cell r="K76">
            <v>1398.875</v>
          </cell>
          <cell r="L76">
            <v>62.741533293345647</v>
          </cell>
        </row>
        <row r="77">
          <cell r="B77">
            <v>0.74931000000000003</v>
          </cell>
          <cell r="E77">
            <v>7</v>
          </cell>
          <cell r="F77">
            <v>2.0400000000000001E-3</v>
          </cell>
          <cell r="I77">
            <v>1000000</v>
          </cell>
          <cell r="J77">
            <v>10</v>
          </cell>
          <cell r="K77">
            <v>1398.875</v>
          </cell>
          <cell r="L77">
            <v>62.741533293345647</v>
          </cell>
        </row>
        <row r="78">
          <cell r="B78">
            <v>0.74185000000000001</v>
          </cell>
          <cell r="E78">
            <v>16</v>
          </cell>
          <cell r="F78">
            <v>1.6818181818181815E-3</v>
          </cell>
          <cell r="I78">
            <v>1000000</v>
          </cell>
          <cell r="J78">
            <v>10</v>
          </cell>
          <cell r="K78">
            <v>1398.875</v>
          </cell>
          <cell r="L78">
            <v>62.741533293345647</v>
          </cell>
        </row>
        <row r="79">
          <cell r="B79">
            <v>0.72738999999999998</v>
          </cell>
          <cell r="E79" t="str">
            <v>Inf</v>
          </cell>
          <cell r="F79">
            <v>1.4761904761904762E-3</v>
          </cell>
          <cell r="I79">
            <v>1000000</v>
          </cell>
          <cell r="J79">
            <v>10</v>
          </cell>
          <cell r="K79">
            <v>1398.875</v>
          </cell>
          <cell r="L79">
            <v>62.741533293345647</v>
          </cell>
        </row>
        <row r="80">
          <cell r="B80">
            <v>0.70162000000000002</v>
          </cell>
          <cell r="E80">
            <v>17</v>
          </cell>
          <cell r="F80">
            <v>1.8636363636363633E-3</v>
          </cell>
          <cell r="I80">
            <v>1000000</v>
          </cell>
          <cell r="J80">
            <v>10</v>
          </cell>
          <cell r="K80">
            <v>1398.875</v>
          </cell>
          <cell r="L80">
            <v>62.741533293345647</v>
          </cell>
        </row>
        <row r="81">
          <cell r="B81">
            <v>0.66420000000000001</v>
          </cell>
          <cell r="E81">
            <v>20</v>
          </cell>
          <cell r="F81">
            <v>2E-3</v>
          </cell>
          <cell r="I81">
            <v>1000000</v>
          </cell>
          <cell r="J81">
            <v>10</v>
          </cell>
          <cell r="K81">
            <v>1398.875</v>
          </cell>
          <cell r="L81">
            <v>62.741533293345647</v>
          </cell>
        </row>
        <row r="82">
          <cell r="B82">
            <v>0.61399000000000004</v>
          </cell>
          <cell r="E82" t="str">
            <v>Inf</v>
          </cell>
          <cell r="F82">
            <v>2.0952380952380953E-3</v>
          </cell>
          <cell r="I82">
            <v>1000000</v>
          </cell>
          <cell r="J82">
            <v>10</v>
          </cell>
          <cell r="K82">
            <v>1398.875</v>
          </cell>
          <cell r="L82">
            <v>62.741533293345647</v>
          </cell>
        </row>
        <row r="83">
          <cell r="B83">
            <v>0.54893999999999998</v>
          </cell>
          <cell r="E83" t="str">
            <v>Inf</v>
          </cell>
          <cell r="F83">
            <v>2.5714285714285717E-3</v>
          </cell>
          <cell r="I83">
            <v>1000000</v>
          </cell>
          <cell r="J83">
            <v>10</v>
          </cell>
          <cell r="K83">
            <v>1398.875</v>
          </cell>
          <cell r="L83">
            <v>62.741533293345647</v>
          </cell>
        </row>
        <row r="84">
          <cell r="B84">
            <v>0.47265000000000001</v>
          </cell>
          <cell r="E84" t="str">
            <v>Inf</v>
          </cell>
          <cell r="F84">
            <v>2.6666666666666666E-3</v>
          </cell>
          <cell r="I84">
            <v>1000000</v>
          </cell>
          <cell r="J84">
            <v>10</v>
          </cell>
          <cell r="K84">
            <v>1398.875</v>
          </cell>
          <cell r="L84">
            <v>62.741533293345647</v>
          </cell>
        </row>
        <row r="85">
          <cell r="B85">
            <v>0.38779999999999998</v>
          </cell>
          <cell r="E85" t="str">
            <v>Inf</v>
          </cell>
          <cell r="F85">
            <v>2.9523809523809524E-3</v>
          </cell>
          <cell r="I85">
            <v>1000000</v>
          </cell>
          <cell r="J85">
            <v>10</v>
          </cell>
          <cell r="K85">
            <v>1398.875</v>
          </cell>
          <cell r="L85">
            <v>62.741533293345647</v>
          </cell>
        </row>
        <row r="86">
          <cell r="B86">
            <v>0.30582999999999999</v>
          </cell>
          <cell r="E86" t="str">
            <v>Inf</v>
          </cell>
          <cell r="F86">
            <v>3.3809523809523808E-3</v>
          </cell>
          <cell r="I86">
            <v>1000000</v>
          </cell>
          <cell r="J86">
            <v>10</v>
          </cell>
          <cell r="K86">
            <v>1398.875</v>
          </cell>
          <cell r="L86">
            <v>62.741533293345647</v>
          </cell>
        </row>
        <row r="87">
          <cell r="B87">
            <v>0.22992000000000001</v>
          </cell>
          <cell r="E87" t="str">
            <v>Inf</v>
          </cell>
          <cell r="F87">
            <v>3.0952380952380953E-3</v>
          </cell>
          <cell r="I87">
            <v>1000000</v>
          </cell>
          <cell r="J87">
            <v>10</v>
          </cell>
          <cell r="K87">
            <v>1398.875</v>
          </cell>
          <cell r="L87">
            <v>62.741533293345647</v>
          </cell>
        </row>
        <row r="88">
          <cell r="B88">
            <v>0.17743</v>
          </cell>
          <cell r="E88" t="str">
            <v>Inf</v>
          </cell>
          <cell r="F88">
            <v>3.0952380952380953E-3</v>
          </cell>
          <cell r="I88">
            <v>1000000</v>
          </cell>
          <cell r="J88">
            <v>10</v>
          </cell>
          <cell r="K88">
            <v>1398.875</v>
          </cell>
          <cell r="L88">
            <v>62.741533293345647</v>
          </cell>
        </row>
        <row r="89">
          <cell r="B89">
            <v>0.14013999999999999</v>
          </cell>
          <cell r="E89" t="str">
            <v>Inf</v>
          </cell>
          <cell r="F89">
            <v>3.0952380952380953E-3</v>
          </cell>
          <cell r="I89">
            <v>1000000</v>
          </cell>
          <cell r="J89">
            <v>10</v>
          </cell>
          <cell r="K89">
            <v>1398.875</v>
          </cell>
          <cell r="L89">
            <v>62.741533293345647</v>
          </cell>
        </row>
        <row r="90">
          <cell r="B90">
            <v>0.10922</v>
          </cell>
          <cell r="E90" t="str">
            <v>Inf</v>
          </cell>
          <cell r="F90">
            <v>2.8095238095238095E-3</v>
          </cell>
          <cell r="I90">
            <v>1000000</v>
          </cell>
          <cell r="J90">
            <v>10</v>
          </cell>
          <cell r="K90">
            <v>1398.875</v>
          </cell>
          <cell r="L90">
            <v>62.741533293345647</v>
          </cell>
        </row>
        <row r="91">
          <cell r="B91">
            <v>8.4239999999999995E-2</v>
          </cell>
          <cell r="E91">
            <v>12</v>
          </cell>
          <cell r="F91">
            <v>1.6956521739130437E-3</v>
          </cell>
          <cell r="I91">
            <v>1000000</v>
          </cell>
          <cell r="J91">
            <v>10</v>
          </cell>
          <cell r="K91">
            <v>1398.875</v>
          </cell>
          <cell r="L91">
            <v>62.741533293345647</v>
          </cell>
        </row>
      </sheetData>
      <sheetData sheetId="4">
        <row r="1">
          <cell r="B1" t="str">
            <v>die roten Werte sind Cal Dez-2006; alle anderen Dez-2002</v>
          </cell>
        </row>
        <row r="2">
          <cell r="B2" t="str">
            <v>EAM6</v>
          </cell>
          <cell r="I2" t="str">
            <v>Vinculum C298-3</v>
          </cell>
        </row>
        <row r="3">
          <cell r="B3" t="str">
            <v>eps</v>
          </cell>
          <cell r="E3" t="str">
            <v>eff. degree</v>
          </cell>
          <cell r="F3" t="str">
            <v>u(eps)</v>
          </cell>
          <cell r="K3" t="str">
            <v>correction</v>
          </cell>
          <cell r="L3" t="str">
            <v>U(correction)</v>
          </cell>
        </row>
        <row r="4">
          <cell r="B4" t="str">
            <v>A / W</v>
          </cell>
          <cell r="E4" t="str">
            <v>freedom</v>
          </cell>
          <cell r="F4" t="str">
            <v>rel</v>
          </cell>
          <cell r="I4" t="str">
            <v>Range</v>
          </cell>
          <cell r="J4" t="str">
            <v>Preamp</v>
          </cell>
          <cell r="K4" t="str">
            <v>ppm</v>
          </cell>
          <cell r="L4" t="str">
            <v>ppm</v>
          </cell>
        </row>
        <row r="5">
          <cell r="B5">
            <v>0.22619</v>
          </cell>
          <cell r="E5">
            <v>13</v>
          </cell>
          <cell r="F5">
            <v>1.6086956521739132E-3</v>
          </cell>
          <cell r="I5">
            <v>1</v>
          </cell>
          <cell r="J5">
            <v>1</v>
          </cell>
          <cell r="K5">
            <v>0</v>
          </cell>
          <cell r="L5">
            <v>0</v>
          </cell>
        </row>
        <row r="6">
          <cell r="B6">
            <v>0.22450000000000001</v>
          </cell>
          <cell r="E6">
            <v>38</v>
          </cell>
          <cell r="F6">
            <v>2.2705314009661835E-3</v>
          </cell>
          <cell r="I6">
            <v>1</v>
          </cell>
          <cell r="J6">
            <v>1</v>
          </cell>
          <cell r="K6">
            <v>0</v>
          </cell>
          <cell r="L6">
            <v>0</v>
          </cell>
        </row>
        <row r="7">
          <cell r="B7">
            <v>0.21929999999999999</v>
          </cell>
          <cell r="E7" t="str">
            <v>Inf</v>
          </cell>
          <cell r="F7">
            <v>1.9E-3</v>
          </cell>
          <cell r="I7">
            <v>1</v>
          </cell>
          <cell r="J7">
            <v>1</v>
          </cell>
          <cell r="K7">
            <v>0</v>
          </cell>
          <cell r="L7">
            <v>0</v>
          </cell>
        </row>
        <row r="8">
          <cell r="B8">
            <v>0.21490000000000001</v>
          </cell>
          <cell r="E8" t="str">
            <v>Inf</v>
          </cell>
          <cell r="F8">
            <v>1.8500000000000001E-3</v>
          </cell>
          <cell r="I8">
            <v>1</v>
          </cell>
          <cell r="J8">
            <v>1</v>
          </cell>
          <cell r="K8">
            <v>0</v>
          </cell>
          <cell r="L8">
            <v>0</v>
          </cell>
        </row>
        <row r="9">
          <cell r="B9">
            <v>0.22189999999999999</v>
          </cell>
          <cell r="E9" t="str">
            <v>Inf</v>
          </cell>
          <cell r="F9">
            <v>1.8500000000000001E-3</v>
          </cell>
          <cell r="I9">
            <v>1</v>
          </cell>
          <cell r="J9">
            <v>1</v>
          </cell>
          <cell r="K9">
            <v>0</v>
          </cell>
          <cell r="L9">
            <v>0</v>
          </cell>
        </row>
        <row r="10">
          <cell r="B10">
            <v>0.23649999999999999</v>
          </cell>
          <cell r="E10" t="str">
            <v>Inf</v>
          </cell>
          <cell r="F10">
            <v>1.8E-3</v>
          </cell>
          <cell r="I10">
            <v>1</v>
          </cell>
          <cell r="J10">
            <v>1</v>
          </cell>
          <cell r="K10">
            <v>0</v>
          </cell>
          <cell r="L10">
            <v>0</v>
          </cell>
        </row>
        <row r="11">
          <cell r="B11">
            <v>0.24310000000000001</v>
          </cell>
          <cell r="E11">
            <v>34</v>
          </cell>
          <cell r="F11">
            <v>2.3076923076923075E-3</v>
          </cell>
          <cell r="I11">
            <v>10000000</v>
          </cell>
          <cell r="J11">
            <v>100</v>
          </cell>
          <cell r="K11">
            <v>1124.25</v>
          </cell>
          <cell r="L11">
            <v>212.40325528847916</v>
          </cell>
        </row>
        <row r="12">
          <cell r="B12">
            <v>0.2475</v>
          </cell>
          <cell r="E12" t="str">
            <v>Inf</v>
          </cell>
          <cell r="F12">
            <v>1.8E-3</v>
          </cell>
          <cell r="I12">
            <v>10000000</v>
          </cell>
          <cell r="J12">
            <v>100</v>
          </cell>
          <cell r="K12">
            <v>1124.25</v>
          </cell>
          <cell r="L12">
            <v>212.40325528847916</v>
          </cell>
        </row>
        <row r="13">
          <cell r="B13">
            <v>0.25240000000000001</v>
          </cell>
          <cell r="E13" t="str">
            <v>Inf</v>
          </cell>
          <cell r="F13">
            <v>1.8E-3</v>
          </cell>
          <cell r="I13">
            <v>10000000</v>
          </cell>
          <cell r="J13">
            <v>100</v>
          </cell>
          <cell r="K13">
            <v>1124.25</v>
          </cell>
          <cell r="L13">
            <v>212.40325528847916</v>
          </cell>
        </row>
        <row r="14">
          <cell r="B14">
            <v>0.25819999999999999</v>
          </cell>
          <cell r="E14" t="str">
            <v>Inf</v>
          </cell>
          <cell r="F14">
            <v>1.8E-3</v>
          </cell>
          <cell r="I14">
            <v>10000000</v>
          </cell>
          <cell r="J14">
            <v>100</v>
          </cell>
          <cell r="K14">
            <v>1124.25</v>
          </cell>
          <cell r="L14">
            <v>212.40325528847916</v>
          </cell>
        </row>
        <row r="15">
          <cell r="B15">
            <v>0.26490000000000002</v>
          </cell>
          <cell r="E15" t="str">
            <v>Inf</v>
          </cell>
          <cell r="F15">
            <v>1.8E-3</v>
          </cell>
          <cell r="I15">
            <v>10000000</v>
          </cell>
          <cell r="J15">
            <v>100</v>
          </cell>
          <cell r="K15">
            <v>1124.25</v>
          </cell>
          <cell r="L15">
            <v>212.40325528847916</v>
          </cell>
        </row>
        <row r="16">
          <cell r="B16">
            <v>0.27129999999999999</v>
          </cell>
          <cell r="E16" t="str">
            <v>Inf</v>
          </cell>
          <cell r="F16">
            <v>1.8500000000000001E-3</v>
          </cell>
          <cell r="I16">
            <v>10000000</v>
          </cell>
          <cell r="J16">
            <v>100</v>
          </cell>
          <cell r="K16">
            <v>1124.25</v>
          </cell>
          <cell r="L16">
            <v>212.40325528847916</v>
          </cell>
        </row>
        <row r="17">
          <cell r="B17">
            <v>0.27660000000000001</v>
          </cell>
          <cell r="E17" t="str">
            <v>Inf</v>
          </cell>
          <cell r="F17">
            <v>1.8E-3</v>
          </cell>
          <cell r="I17">
            <v>10000000</v>
          </cell>
          <cell r="J17">
            <v>100</v>
          </cell>
          <cell r="K17">
            <v>1124.25</v>
          </cell>
          <cell r="L17">
            <v>212.40325528847916</v>
          </cell>
        </row>
        <row r="18">
          <cell r="B18">
            <v>0.28320000000000001</v>
          </cell>
          <cell r="E18" t="str">
            <v>Inf</v>
          </cell>
          <cell r="F18">
            <v>1.8E-3</v>
          </cell>
          <cell r="I18">
            <v>10000000</v>
          </cell>
          <cell r="J18">
            <v>100</v>
          </cell>
          <cell r="K18">
            <v>1124.25</v>
          </cell>
          <cell r="L18">
            <v>212.40325528847916</v>
          </cell>
        </row>
        <row r="19">
          <cell r="B19">
            <v>0.29380000000000001</v>
          </cell>
          <cell r="E19" t="str">
            <v>Inf</v>
          </cell>
          <cell r="F19">
            <v>1.9E-3</v>
          </cell>
          <cell r="I19">
            <v>10000000</v>
          </cell>
          <cell r="J19">
            <v>10</v>
          </cell>
          <cell r="K19">
            <v>931.625</v>
          </cell>
          <cell r="L19">
            <v>65.630458956624267</v>
          </cell>
        </row>
        <row r="20">
          <cell r="B20">
            <v>0.30459999999999998</v>
          </cell>
          <cell r="E20" t="str">
            <v>Inf</v>
          </cell>
          <cell r="F20">
            <v>1E-3</v>
          </cell>
          <cell r="I20">
            <v>10000000</v>
          </cell>
          <cell r="J20">
            <v>10</v>
          </cell>
          <cell r="K20">
            <v>931.625</v>
          </cell>
          <cell r="L20">
            <v>65.630458956624267</v>
          </cell>
        </row>
        <row r="21">
          <cell r="B21">
            <v>0.31359999999999999</v>
          </cell>
          <cell r="E21" t="str">
            <v>Inf</v>
          </cell>
          <cell r="F21">
            <v>1E-3</v>
          </cell>
          <cell r="I21">
            <v>10000000</v>
          </cell>
          <cell r="J21">
            <v>10</v>
          </cell>
          <cell r="K21">
            <v>931.625</v>
          </cell>
          <cell r="L21">
            <v>65.630458956624267</v>
          </cell>
        </row>
        <row r="22">
          <cell r="B22">
            <v>0.3226</v>
          </cell>
          <cell r="E22" t="str">
            <v>Inf</v>
          </cell>
          <cell r="F22">
            <v>8.5000000000000006E-4</v>
          </cell>
          <cell r="I22">
            <v>10000000</v>
          </cell>
          <cell r="J22">
            <v>10</v>
          </cell>
          <cell r="K22">
            <v>931.625</v>
          </cell>
          <cell r="L22">
            <v>65.630458956624267</v>
          </cell>
        </row>
        <row r="23">
          <cell r="B23">
            <v>0.33160000000000001</v>
          </cell>
          <cell r="E23" t="str">
            <v>Inf</v>
          </cell>
          <cell r="F23">
            <v>8.5000000000000006E-4</v>
          </cell>
          <cell r="I23">
            <v>10000000</v>
          </cell>
          <cell r="J23">
            <v>10</v>
          </cell>
          <cell r="K23">
            <v>931.625</v>
          </cell>
          <cell r="L23">
            <v>65.630458956624267</v>
          </cell>
        </row>
        <row r="24">
          <cell r="B24">
            <v>0.34050000000000002</v>
          </cell>
          <cell r="E24" t="str">
            <v>Inf</v>
          </cell>
          <cell r="F24">
            <v>8.5000000000000006E-4</v>
          </cell>
          <cell r="I24">
            <v>10000000</v>
          </cell>
          <cell r="J24">
            <v>10</v>
          </cell>
          <cell r="K24">
            <v>931.625</v>
          </cell>
          <cell r="L24">
            <v>65.630458956624267</v>
          </cell>
        </row>
        <row r="25">
          <cell r="B25">
            <v>0.34910000000000002</v>
          </cell>
          <cell r="E25" t="str">
            <v>Inf</v>
          </cell>
          <cell r="F25">
            <v>8.5000000000000006E-4</v>
          </cell>
          <cell r="I25">
            <v>10000000</v>
          </cell>
          <cell r="J25">
            <v>10</v>
          </cell>
          <cell r="K25">
            <v>931.625</v>
          </cell>
          <cell r="L25">
            <v>65.630458956624267</v>
          </cell>
        </row>
        <row r="26">
          <cell r="B26">
            <v>0.35759999999999997</v>
          </cell>
          <cell r="E26" t="str">
            <v>Inf</v>
          </cell>
          <cell r="F26">
            <v>6.4999999999999997E-4</v>
          </cell>
          <cell r="I26">
            <v>10000000</v>
          </cell>
          <cell r="J26">
            <v>10</v>
          </cell>
          <cell r="K26">
            <v>931.625</v>
          </cell>
          <cell r="L26">
            <v>65.630458956624267</v>
          </cell>
        </row>
        <row r="27">
          <cell r="B27">
            <v>0.36726999999999999</v>
          </cell>
          <cell r="E27" t="str">
            <v>Inf</v>
          </cell>
          <cell r="F27">
            <v>5.5000000000000003E-4</v>
          </cell>
          <cell r="I27">
            <v>10000000</v>
          </cell>
          <cell r="J27">
            <v>10</v>
          </cell>
          <cell r="K27">
            <v>931.625</v>
          </cell>
          <cell r="L27">
            <v>65.630458956624267</v>
          </cell>
        </row>
        <row r="28">
          <cell r="B28">
            <v>0.37556</v>
          </cell>
          <cell r="E28" t="str">
            <v>Inf</v>
          </cell>
          <cell r="F28">
            <v>4.0000000000000002E-4</v>
          </cell>
          <cell r="I28">
            <v>10000000</v>
          </cell>
          <cell r="J28">
            <v>10</v>
          </cell>
          <cell r="K28">
            <v>931.625</v>
          </cell>
          <cell r="L28">
            <v>65.630458956624267</v>
          </cell>
        </row>
        <row r="29">
          <cell r="B29">
            <v>0.38383</v>
          </cell>
          <cell r="E29" t="str">
            <v>Inf</v>
          </cell>
          <cell r="F29">
            <v>4.0000000000000002E-4</v>
          </cell>
          <cell r="I29">
            <v>1000000</v>
          </cell>
          <cell r="J29">
            <v>10</v>
          </cell>
          <cell r="K29">
            <v>978.125</v>
          </cell>
          <cell r="L29">
            <v>61.870255950889451</v>
          </cell>
        </row>
        <row r="30">
          <cell r="B30">
            <v>0.39207999999999998</v>
          </cell>
          <cell r="E30" t="str">
            <v>Inf</v>
          </cell>
          <cell r="F30">
            <v>4.0000000000000002E-4</v>
          </cell>
          <cell r="I30">
            <v>1000000</v>
          </cell>
          <cell r="J30">
            <v>10</v>
          </cell>
          <cell r="K30">
            <v>978.125</v>
          </cell>
          <cell r="L30">
            <v>61.870255950889451</v>
          </cell>
        </row>
        <row r="31">
          <cell r="B31">
            <v>0.40031</v>
          </cell>
          <cell r="E31" t="str">
            <v>Inf</v>
          </cell>
          <cell r="F31">
            <v>4.0000000000000002E-4</v>
          </cell>
          <cell r="I31">
            <v>1000000</v>
          </cell>
          <cell r="J31">
            <v>10</v>
          </cell>
          <cell r="K31">
            <v>978.125</v>
          </cell>
          <cell r="L31">
            <v>61.870255950889451</v>
          </cell>
        </row>
        <row r="32">
          <cell r="B32">
            <v>0.40850999999999998</v>
          </cell>
          <cell r="E32" t="str">
            <v>Inf</v>
          </cell>
          <cell r="F32">
            <v>4.0000000000000002E-4</v>
          </cell>
          <cell r="I32">
            <v>1000000</v>
          </cell>
          <cell r="J32">
            <v>10</v>
          </cell>
          <cell r="K32">
            <v>978.125</v>
          </cell>
          <cell r="L32">
            <v>61.870255950889451</v>
          </cell>
        </row>
        <row r="33">
          <cell r="B33">
            <v>0.41671999999999998</v>
          </cell>
          <cell r="E33" t="str">
            <v>Inf</v>
          </cell>
          <cell r="F33">
            <v>4.0000000000000002E-4</v>
          </cell>
          <cell r="I33">
            <v>1000000</v>
          </cell>
          <cell r="J33">
            <v>10</v>
          </cell>
          <cell r="K33">
            <v>978.125</v>
          </cell>
          <cell r="L33">
            <v>61.870255950889451</v>
          </cell>
        </row>
        <row r="34">
          <cell r="B34">
            <v>0.4249</v>
          </cell>
          <cell r="E34" t="str">
            <v>Inf</v>
          </cell>
          <cell r="F34">
            <v>4.0000000000000002E-4</v>
          </cell>
          <cell r="I34">
            <v>1000000</v>
          </cell>
          <cell r="J34">
            <v>10</v>
          </cell>
          <cell r="K34">
            <v>978.125</v>
          </cell>
          <cell r="L34">
            <v>61.870255950889451</v>
          </cell>
        </row>
        <row r="35">
          <cell r="B35">
            <v>0.43309999999999998</v>
          </cell>
          <cell r="E35" t="str">
            <v>Inf</v>
          </cell>
          <cell r="F35">
            <v>4.0000000000000002E-4</v>
          </cell>
          <cell r="I35">
            <v>1000000</v>
          </cell>
          <cell r="J35">
            <v>10</v>
          </cell>
          <cell r="K35">
            <v>978.125</v>
          </cell>
          <cell r="L35">
            <v>61.870255950889451</v>
          </cell>
        </row>
        <row r="36">
          <cell r="B36">
            <v>0.44128000000000001</v>
          </cell>
          <cell r="E36" t="str">
            <v>Inf</v>
          </cell>
          <cell r="F36">
            <v>4.0000000000000002E-4</v>
          </cell>
          <cell r="I36">
            <v>1000000</v>
          </cell>
          <cell r="J36">
            <v>10</v>
          </cell>
          <cell r="K36">
            <v>978.125</v>
          </cell>
          <cell r="L36">
            <v>61.870255950889451</v>
          </cell>
        </row>
        <row r="37">
          <cell r="B37">
            <v>0.44946000000000003</v>
          </cell>
          <cell r="E37" t="str">
            <v>Inf</v>
          </cell>
          <cell r="F37">
            <v>4.0000000000000002E-4</v>
          </cell>
          <cell r="I37">
            <v>1000000</v>
          </cell>
          <cell r="J37">
            <v>10</v>
          </cell>
          <cell r="K37">
            <v>978.125</v>
          </cell>
          <cell r="L37">
            <v>61.870255950889451</v>
          </cell>
        </row>
        <row r="38">
          <cell r="B38">
            <v>0.45762000000000003</v>
          </cell>
          <cell r="E38" t="str">
            <v>Inf</v>
          </cell>
          <cell r="F38">
            <v>4.0000000000000002E-4</v>
          </cell>
          <cell r="I38">
            <v>1000000</v>
          </cell>
          <cell r="J38">
            <v>10</v>
          </cell>
          <cell r="K38">
            <v>978.125</v>
          </cell>
          <cell r="L38">
            <v>61.870255950889451</v>
          </cell>
        </row>
        <row r="39">
          <cell r="B39">
            <v>0.46575</v>
          </cell>
          <cell r="E39" t="str">
            <v>Inf</v>
          </cell>
          <cell r="F39">
            <v>4.0000000000000002E-4</v>
          </cell>
          <cell r="I39">
            <v>1000000</v>
          </cell>
          <cell r="J39">
            <v>10</v>
          </cell>
          <cell r="K39">
            <v>978.125</v>
          </cell>
          <cell r="L39">
            <v>61.870255950889451</v>
          </cell>
        </row>
        <row r="40">
          <cell r="B40">
            <v>0.47388000000000002</v>
          </cell>
          <cell r="E40" t="str">
            <v>Inf</v>
          </cell>
          <cell r="F40">
            <v>4.0000000000000002E-4</v>
          </cell>
          <cell r="I40">
            <v>1000000</v>
          </cell>
          <cell r="J40">
            <v>10</v>
          </cell>
          <cell r="K40">
            <v>978.125</v>
          </cell>
          <cell r="L40">
            <v>61.870255950889451</v>
          </cell>
        </row>
        <row r="41">
          <cell r="B41">
            <v>0.48199999999999998</v>
          </cell>
          <cell r="E41" t="str">
            <v>Inf</v>
          </cell>
          <cell r="F41">
            <v>4.0000000000000002E-4</v>
          </cell>
          <cell r="I41">
            <v>1000000</v>
          </cell>
          <cell r="J41">
            <v>10</v>
          </cell>
          <cell r="K41">
            <v>978.125</v>
          </cell>
          <cell r="L41">
            <v>61.870255950889451</v>
          </cell>
        </row>
        <row r="42">
          <cell r="B42">
            <v>0.49009999999999998</v>
          </cell>
          <cell r="E42" t="str">
            <v>Inf</v>
          </cell>
          <cell r="F42">
            <v>4.0000000000000002E-4</v>
          </cell>
          <cell r="I42">
            <v>1000000</v>
          </cell>
          <cell r="J42">
            <v>10</v>
          </cell>
          <cell r="K42">
            <v>978.125</v>
          </cell>
          <cell r="L42">
            <v>61.870255950889451</v>
          </cell>
        </row>
        <row r="43">
          <cell r="B43">
            <v>0.49818000000000001</v>
          </cell>
          <cell r="E43" t="str">
            <v>Inf</v>
          </cell>
          <cell r="F43">
            <v>4.0000000000000002E-4</v>
          </cell>
          <cell r="I43">
            <v>1000000</v>
          </cell>
          <cell r="J43">
            <v>10</v>
          </cell>
          <cell r="K43">
            <v>978.125</v>
          </cell>
          <cell r="L43">
            <v>61.870255950889451</v>
          </cell>
        </row>
        <row r="44">
          <cell r="B44">
            <v>0.50626000000000004</v>
          </cell>
          <cell r="E44" t="str">
            <v>Inf</v>
          </cell>
          <cell r="F44">
            <v>4.0000000000000002E-4</v>
          </cell>
          <cell r="I44">
            <v>1000000</v>
          </cell>
          <cell r="J44">
            <v>10</v>
          </cell>
          <cell r="K44">
            <v>978.125</v>
          </cell>
          <cell r="L44">
            <v>61.870255950889451</v>
          </cell>
        </row>
        <row r="45">
          <cell r="B45">
            <v>0.51432999999999995</v>
          </cell>
          <cell r="E45" t="str">
            <v>Inf</v>
          </cell>
          <cell r="F45">
            <v>4.0000000000000002E-4</v>
          </cell>
          <cell r="I45">
            <v>1000000</v>
          </cell>
          <cell r="J45">
            <v>10</v>
          </cell>
          <cell r="K45">
            <v>978.125</v>
          </cell>
          <cell r="L45">
            <v>61.870255950889451</v>
          </cell>
        </row>
        <row r="46">
          <cell r="B46">
            <v>0.52239999999999998</v>
          </cell>
          <cell r="E46" t="str">
            <v>Inf</v>
          </cell>
          <cell r="F46">
            <v>4.0000000000000002E-4</v>
          </cell>
          <cell r="I46">
            <v>1000000</v>
          </cell>
          <cell r="J46">
            <v>10</v>
          </cell>
          <cell r="K46">
            <v>978.125</v>
          </cell>
          <cell r="L46">
            <v>61.870255950889451</v>
          </cell>
        </row>
        <row r="47">
          <cell r="B47">
            <v>0.53047</v>
          </cell>
          <cell r="E47" t="str">
            <v>Inf</v>
          </cell>
          <cell r="F47">
            <v>4.0000000000000002E-4</v>
          </cell>
          <cell r="I47">
            <v>1000000</v>
          </cell>
          <cell r="J47">
            <v>10</v>
          </cell>
          <cell r="K47">
            <v>978.125</v>
          </cell>
          <cell r="L47">
            <v>61.870255950889451</v>
          </cell>
        </row>
        <row r="48">
          <cell r="B48">
            <v>0.53854000000000002</v>
          </cell>
          <cell r="E48" t="str">
            <v>Inf</v>
          </cell>
          <cell r="F48">
            <v>4.0000000000000002E-4</v>
          </cell>
          <cell r="I48">
            <v>1000000</v>
          </cell>
          <cell r="J48">
            <v>10</v>
          </cell>
          <cell r="K48">
            <v>978.125</v>
          </cell>
          <cell r="L48">
            <v>61.870255950889451</v>
          </cell>
        </row>
        <row r="49">
          <cell r="B49">
            <v>0.54659999999999997</v>
          </cell>
          <cell r="E49" t="str">
            <v>Inf</v>
          </cell>
          <cell r="F49">
            <v>4.0000000000000002E-4</v>
          </cell>
          <cell r="I49">
            <v>1000000</v>
          </cell>
          <cell r="J49">
            <v>10</v>
          </cell>
          <cell r="K49">
            <v>978.125</v>
          </cell>
          <cell r="L49">
            <v>61.870255950889451</v>
          </cell>
        </row>
        <row r="50">
          <cell r="B50">
            <v>0.55464999999999998</v>
          </cell>
          <cell r="E50" t="str">
            <v>Inf</v>
          </cell>
          <cell r="F50">
            <v>4.0000000000000002E-4</v>
          </cell>
          <cell r="I50">
            <v>1000000</v>
          </cell>
          <cell r="J50">
            <v>10</v>
          </cell>
          <cell r="K50">
            <v>978.125</v>
          </cell>
          <cell r="L50">
            <v>61.870255950889451</v>
          </cell>
        </row>
        <row r="51">
          <cell r="B51">
            <v>0.56271000000000004</v>
          </cell>
          <cell r="E51" t="str">
            <v>Inf</v>
          </cell>
          <cell r="F51">
            <v>4.0000000000000002E-4</v>
          </cell>
          <cell r="I51">
            <v>1000000</v>
          </cell>
          <cell r="J51">
            <v>10</v>
          </cell>
          <cell r="K51">
            <v>978.125</v>
          </cell>
          <cell r="L51">
            <v>61.870255950889451</v>
          </cell>
        </row>
        <row r="52">
          <cell r="B52">
            <v>0.57077</v>
          </cell>
          <cell r="E52" t="str">
            <v>Inf</v>
          </cell>
          <cell r="F52">
            <v>4.0000000000000002E-4</v>
          </cell>
          <cell r="I52">
            <v>1000000</v>
          </cell>
          <cell r="J52">
            <v>10</v>
          </cell>
          <cell r="K52">
            <v>978.125</v>
          </cell>
          <cell r="L52">
            <v>61.870255950889451</v>
          </cell>
        </row>
        <row r="53">
          <cell r="B53">
            <v>0.57882</v>
          </cell>
          <cell r="E53" t="str">
            <v>Inf</v>
          </cell>
          <cell r="F53">
            <v>4.0000000000000002E-4</v>
          </cell>
          <cell r="I53">
            <v>1000000</v>
          </cell>
          <cell r="J53">
            <v>10</v>
          </cell>
          <cell r="K53">
            <v>978.125</v>
          </cell>
          <cell r="L53">
            <v>61.870255950889451</v>
          </cell>
        </row>
        <row r="54">
          <cell r="B54">
            <v>0.58686000000000005</v>
          </cell>
          <cell r="E54" t="str">
            <v>Inf</v>
          </cell>
          <cell r="F54">
            <v>4.0000000000000002E-4</v>
          </cell>
          <cell r="I54">
            <v>1000000</v>
          </cell>
          <cell r="J54">
            <v>10</v>
          </cell>
          <cell r="K54">
            <v>978.125</v>
          </cell>
          <cell r="L54">
            <v>61.870255950889451</v>
          </cell>
        </row>
        <row r="55">
          <cell r="B55">
            <v>0.59491000000000005</v>
          </cell>
          <cell r="E55" t="str">
            <v>Inf</v>
          </cell>
          <cell r="F55">
            <v>4.0000000000000002E-4</v>
          </cell>
          <cell r="I55">
            <v>1000000</v>
          </cell>
          <cell r="J55">
            <v>10</v>
          </cell>
          <cell r="K55">
            <v>978.125</v>
          </cell>
          <cell r="L55">
            <v>61.870255950889451</v>
          </cell>
        </row>
        <row r="56">
          <cell r="B56">
            <v>0.60297999999999996</v>
          </cell>
          <cell r="E56" t="str">
            <v>Inf</v>
          </cell>
          <cell r="F56">
            <v>3.8095238095238091E-4</v>
          </cell>
          <cell r="I56">
            <v>1000000</v>
          </cell>
          <cell r="J56">
            <v>10</v>
          </cell>
          <cell r="K56">
            <v>978.125</v>
          </cell>
          <cell r="L56">
            <v>61.870255950889451</v>
          </cell>
        </row>
        <row r="57">
          <cell r="B57">
            <v>0.61101000000000005</v>
          </cell>
          <cell r="E57" t="str">
            <v>Inf</v>
          </cell>
          <cell r="F57">
            <v>3.8095238095238091E-4</v>
          </cell>
          <cell r="I57">
            <v>1000000</v>
          </cell>
          <cell r="J57">
            <v>10</v>
          </cell>
          <cell r="K57">
            <v>978.125</v>
          </cell>
          <cell r="L57">
            <v>61.870255950889451</v>
          </cell>
        </row>
        <row r="58">
          <cell r="B58">
            <v>0.61904000000000003</v>
          </cell>
          <cell r="E58" t="str">
            <v>Inf</v>
          </cell>
          <cell r="F58">
            <v>4.0000000000000002E-4</v>
          </cell>
          <cell r="I58">
            <v>1000000</v>
          </cell>
          <cell r="J58">
            <v>10</v>
          </cell>
          <cell r="K58">
            <v>978.125</v>
          </cell>
          <cell r="L58">
            <v>61.870255950889451</v>
          </cell>
        </row>
        <row r="59">
          <cell r="B59">
            <v>0.62702999999999998</v>
          </cell>
          <cell r="E59" t="str">
            <v>Inf</v>
          </cell>
          <cell r="F59">
            <v>4.0000000000000002E-4</v>
          </cell>
          <cell r="I59">
            <v>1000000</v>
          </cell>
          <cell r="J59">
            <v>10</v>
          </cell>
          <cell r="K59">
            <v>978.125</v>
          </cell>
          <cell r="L59">
            <v>61.870255950889451</v>
          </cell>
        </row>
        <row r="60">
          <cell r="B60">
            <v>0.6351</v>
          </cell>
          <cell r="E60" t="str">
            <v>Inf</v>
          </cell>
          <cell r="F60">
            <v>4.0000000000000002E-4</v>
          </cell>
          <cell r="I60">
            <v>1000000</v>
          </cell>
          <cell r="J60">
            <v>10</v>
          </cell>
          <cell r="K60">
            <v>978.125</v>
          </cell>
          <cell r="L60">
            <v>61.870255950889451</v>
          </cell>
        </row>
        <row r="61">
          <cell r="B61">
            <v>0.64324999999999999</v>
          </cell>
          <cell r="E61" t="str">
            <v>Inf</v>
          </cell>
          <cell r="F61">
            <v>4.285714285714285E-4</v>
          </cell>
          <cell r="I61">
            <v>1000000</v>
          </cell>
          <cell r="J61">
            <v>10</v>
          </cell>
          <cell r="K61">
            <v>978.125</v>
          </cell>
          <cell r="L61">
            <v>61.870255950889451</v>
          </cell>
        </row>
        <row r="62">
          <cell r="B62">
            <v>0.65122999999999998</v>
          </cell>
          <cell r="E62" t="str">
            <v>Inf</v>
          </cell>
          <cell r="F62">
            <v>3.8095238095238091E-4</v>
          </cell>
          <cell r="I62">
            <v>1000000</v>
          </cell>
          <cell r="J62">
            <v>10</v>
          </cell>
          <cell r="K62">
            <v>978.125</v>
          </cell>
          <cell r="L62">
            <v>61.870255950889451</v>
          </cell>
        </row>
        <row r="63">
          <cell r="B63">
            <v>0.65915000000000001</v>
          </cell>
          <cell r="E63" t="str">
            <v>Inf</v>
          </cell>
          <cell r="F63">
            <v>4.0000000000000002E-4</v>
          </cell>
          <cell r="I63">
            <v>1000000</v>
          </cell>
          <cell r="J63">
            <v>10</v>
          </cell>
          <cell r="K63">
            <v>978.125</v>
          </cell>
          <cell r="L63">
            <v>61.870255950889451</v>
          </cell>
        </row>
        <row r="64">
          <cell r="B64">
            <v>0.66727000000000003</v>
          </cell>
          <cell r="E64" t="str">
            <v>Inf</v>
          </cell>
          <cell r="F64">
            <v>3.8095238095238091E-4</v>
          </cell>
          <cell r="I64">
            <v>1000000</v>
          </cell>
          <cell r="J64">
            <v>10</v>
          </cell>
          <cell r="K64">
            <v>978.125</v>
          </cell>
          <cell r="L64">
            <v>61.870255950889451</v>
          </cell>
        </row>
        <row r="65">
          <cell r="B65">
            <v>0.67505000000000004</v>
          </cell>
          <cell r="E65">
            <v>19</v>
          </cell>
          <cell r="F65">
            <v>5.0000000000000001E-4</v>
          </cell>
          <cell r="I65">
            <v>1000000</v>
          </cell>
          <cell r="J65">
            <v>10</v>
          </cell>
          <cell r="K65">
            <v>978.125</v>
          </cell>
          <cell r="L65">
            <v>61.870255950889451</v>
          </cell>
        </row>
        <row r="66">
          <cell r="B66">
            <v>0.68320999999999998</v>
          </cell>
          <cell r="E66" t="str">
            <v>Inf</v>
          </cell>
          <cell r="F66">
            <v>4.285714285714285E-4</v>
          </cell>
          <cell r="I66">
            <v>1000000</v>
          </cell>
          <cell r="J66">
            <v>10</v>
          </cell>
          <cell r="K66">
            <v>978.125</v>
          </cell>
          <cell r="L66">
            <v>61.870255950889451</v>
          </cell>
        </row>
        <row r="67">
          <cell r="B67">
            <v>0.69135999999999997</v>
          </cell>
          <cell r="E67" t="str">
            <v>Inf</v>
          </cell>
          <cell r="F67">
            <v>4.285714285714285E-4</v>
          </cell>
          <cell r="I67">
            <v>1000000</v>
          </cell>
          <cell r="J67">
            <v>10</v>
          </cell>
          <cell r="K67">
            <v>978.125</v>
          </cell>
          <cell r="L67">
            <v>61.870255950889451</v>
          </cell>
        </row>
        <row r="68">
          <cell r="B68">
            <v>0.69935000000000003</v>
          </cell>
          <cell r="E68" t="str">
            <v>Inf</v>
          </cell>
          <cell r="F68">
            <v>4.285714285714285E-4</v>
          </cell>
          <cell r="I68">
            <v>1000000</v>
          </cell>
          <cell r="J68">
            <v>10</v>
          </cell>
          <cell r="K68">
            <v>978.125</v>
          </cell>
          <cell r="L68">
            <v>61.870255950889451</v>
          </cell>
        </row>
        <row r="69">
          <cell r="B69">
            <v>0.70709</v>
          </cell>
          <cell r="E69" t="str">
            <v>Inf</v>
          </cell>
          <cell r="F69">
            <v>4.285714285714285E-4</v>
          </cell>
          <cell r="I69">
            <v>1000000</v>
          </cell>
          <cell r="J69">
            <v>10</v>
          </cell>
          <cell r="K69">
            <v>978.125</v>
          </cell>
          <cell r="L69">
            <v>61.870255950889451</v>
          </cell>
        </row>
        <row r="70">
          <cell r="B70">
            <v>0.71489999999999998</v>
          </cell>
          <cell r="E70">
            <v>11</v>
          </cell>
          <cell r="F70">
            <v>5.6521739130434788E-4</v>
          </cell>
          <cell r="I70">
            <v>1000000</v>
          </cell>
          <cell r="J70">
            <v>10</v>
          </cell>
          <cell r="K70">
            <v>978.125</v>
          </cell>
          <cell r="L70">
            <v>61.870255950889451</v>
          </cell>
        </row>
        <row r="71">
          <cell r="B71">
            <v>0.72304000000000002</v>
          </cell>
          <cell r="E71" t="str">
            <v>Inf</v>
          </cell>
          <cell r="F71">
            <v>4.0000000000000002E-4</v>
          </cell>
          <cell r="I71">
            <v>1000000</v>
          </cell>
          <cell r="J71">
            <v>10</v>
          </cell>
          <cell r="K71">
            <v>978.125</v>
          </cell>
          <cell r="L71">
            <v>61.870255950889451</v>
          </cell>
        </row>
        <row r="72">
          <cell r="B72">
            <v>0.73143000000000002</v>
          </cell>
          <cell r="E72">
            <v>18</v>
          </cell>
          <cell r="F72">
            <v>5.0000000000000001E-4</v>
          </cell>
          <cell r="I72">
            <v>1000000</v>
          </cell>
          <cell r="J72">
            <v>10</v>
          </cell>
          <cell r="K72">
            <v>978.125</v>
          </cell>
          <cell r="L72">
            <v>61.870255950889451</v>
          </cell>
        </row>
        <row r="73">
          <cell r="B73">
            <v>0.73885999999999996</v>
          </cell>
          <cell r="E73" t="str">
            <v>Inf</v>
          </cell>
          <cell r="F73">
            <v>4.285714285714285E-4</v>
          </cell>
          <cell r="I73">
            <v>1000000</v>
          </cell>
          <cell r="J73">
            <v>10</v>
          </cell>
          <cell r="K73">
            <v>978.125</v>
          </cell>
          <cell r="L73">
            <v>61.870255950889451</v>
          </cell>
        </row>
        <row r="74">
          <cell r="B74">
            <v>0.74531999999999998</v>
          </cell>
          <cell r="E74">
            <v>3</v>
          </cell>
          <cell r="F74">
            <v>1.5757575757575758E-3</v>
          </cell>
          <cell r="I74">
            <v>1000000</v>
          </cell>
          <cell r="J74">
            <v>10</v>
          </cell>
          <cell r="K74">
            <v>978.125</v>
          </cell>
          <cell r="L74">
            <v>61.870255950889451</v>
          </cell>
        </row>
        <row r="75">
          <cell r="B75">
            <v>0.75029999999999997</v>
          </cell>
          <cell r="E75">
            <v>6</v>
          </cell>
          <cell r="F75">
            <v>2.2962962962962958E-3</v>
          </cell>
          <cell r="I75">
            <v>1000000</v>
          </cell>
          <cell r="J75">
            <v>10</v>
          </cell>
          <cell r="K75">
            <v>978.125</v>
          </cell>
          <cell r="L75">
            <v>61.870255950889451</v>
          </cell>
        </row>
        <row r="76">
          <cell r="B76">
            <v>0.75516000000000005</v>
          </cell>
          <cell r="E76">
            <v>9</v>
          </cell>
          <cell r="F76">
            <v>1.7916666666666667E-3</v>
          </cell>
          <cell r="I76">
            <v>1000000</v>
          </cell>
          <cell r="J76">
            <v>10</v>
          </cell>
          <cell r="K76">
            <v>978.125</v>
          </cell>
          <cell r="L76">
            <v>61.870255950889451</v>
          </cell>
        </row>
        <row r="77">
          <cell r="B77">
            <v>0.75239999999999996</v>
          </cell>
          <cell r="E77">
            <v>9</v>
          </cell>
          <cell r="F77">
            <v>1.8333333333333335E-3</v>
          </cell>
          <cell r="I77">
            <v>1000000</v>
          </cell>
          <cell r="J77">
            <v>10</v>
          </cell>
          <cell r="K77">
            <v>978.125</v>
          </cell>
          <cell r="L77">
            <v>61.870255950889451</v>
          </cell>
        </row>
        <row r="78">
          <cell r="B78">
            <v>0.74514000000000002</v>
          </cell>
          <cell r="E78">
            <v>14</v>
          </cell>
          <cell r="F78">
            <v>1.6521739130434783E-3</v>
          </cell>
          <cell r="I78">
            <v>1000000</v>
          </cell>
          <cell r="J78">
            <v>10</v>
          </cell>
          <cell r="K78">
            <v>978.125</v>
          </cell>
          <cell r="L78">
            <v>61.870255950889451</v>
          </cell>
        </row>
        <row r="79">
          <cell r="B79">
            <v>0.73016999999999999</v>
          </cell>
          <cell r="E79">
            <v>16</v>
          </cell>
          <cell r="F79">
            <v>1.8181818181818182E-3</v>
          </cell>
          <cell r="I79">
            <v>1000000</v>
          </cell>
          <cell r="J79">
            <v>10</v>
          </cell>
          <cell r="K79">
            <v>978.125</v>
          </cell>
          <cell r="L79">
            <v>61.870255950889451</v>
          </cell>
        </row>
        <row r="80">
          <cell r="B80">
            <v>0.70482</v>
          </cell>
          <cell r="E80">
            <v>17</v>
          </cell>
          <cell r="F80">
            <v>1.8636363636363633E-3</v>
          </cell>
          <cell r="I80">
            <v>1000000</v>
          </cell>
          <cell r="J80">
            <v>10</v>
          </cell>
          <cell r="K80">
            <v>978.125</v>
          </cell>
          <cell r="L80">
            <v>61.870255950889451</v>
          </cell>
        </row>
        <row r="81">
          <cell r="B81">
            <v>0.66752</v>
          </cell>
          <cell r="E81">
            <v>28</v>
          </cell>
          <cell r="F81">
            <v>1.9523809523809522E-3</v>
          </cell>
          <cell r="I81">
            <v>1000000</v>
          </cell>
          <cell r="J81">
            <v>10</v>
          </cell>
          <cell r="K81">
            <v>978.125</v>
          </cell>
          <cell r="L81">
            <v>61.870255950889451</v>
          </cell>
        </row>
        <row r="82">
          <cell r="B82">
            <v>0.61692000000000002</v>
          </cell>
          <cell r="E82">
            <v>21</v>
          </cell>
          <cell r="F82">
            <v>2.227272727272727E-3</v>
          </cell>
          <cell r="I82">
            <v>1000000</v>
          </cell>
          <cell r="J82">
            <v>10</v>
          </cell>
          <cell r="K82">
            <v>978.125</v>
          </cell>
          <cell r="L82">
            <v>61.870255950889451</v>
          </cell>
        </row>
        <row r="83">
          <cell r="B83">
            <v>0.55125000000000002</v>
          </cell>
          <cell r="E83" t="str">
            <v>Inf</v>
          </cell>
          <cell r="F83">
            <v>2.2380952380952378E-3</v>
          </cell>
          <cell r="I83">
            <v>1000000</v>
          </cell>
          <cell r="J83">
            <v>10</v>
          </cell>
          <cell r="K83">
            <v>978.125</v>
          </cell>
          <cell r="L83">
            <v>61.870255950889451</v>
          </cell>
        </row>
        <row r="84">
          <cell r="B84">
            <v>0.47466999999999998</v>
          </cell>
          <cell r="E84" t="str">
            <v>Inf</v>
          </cell>
          <cell r="F84">
            <v>2.7619047619047614E-3</v>
          </cell>
          <cell r="I84">
            <v>1000000</v>
          </cell>
          <cell r="J84">
            <v>10</v>
          </cell>
          <cell r="K84">
            <v>978.125</v>
          </cell>
          <cell r="L84">
            <v>61.870255950889451</v>
          </cell>
        </row>
        <row r="85">
          <cell r="B85">
            <v>0.39121</v>
          </cell>
          <cell r="E85" t="str">
            <v>Inf</v>
          </cell>
          <cell r="F85">
            <v>3.1904761904761906E-3</v>
          </cell>
          <cell r="I85">
            <v>1000000</v>
          </cell>
          <cell r="J85">
            <v>10</v>
          </cell>
          <cell r="K85">
            <v>978.125</v>
          </cell>
          <cell r="L85">
            <v>61.870255950889451</v>
          </cell>
        </row>
        <row r="86">
          <cell r="B86">
            <v>0.30897999999999998</v>
          </cell>
          <cell r="E86" t="str">
            <v>Inf</v>
          </cell>
          <cell r="F86">
            <v>3.3500000000000001E-3</v>
          </cell>
          <cell r="I86">
            <v>1000000</v>
          </cell>
          <cell r="J86">
            <v>10</v>
          </cell>
          <cell r="K86">
            <v>978.125</v>
          </cell>
          <cell r="L86">
            <v>61.870255950889451</v>
          </cell>
        </row>
        <row r="87">
          <cell r="B87">
            <v>0.23246</v>
          </cell>
          <cell r="E87" t="str">
            <v>Inf</v>
          </cell>
          <cell r="F87">
            <v>3.142857142857143E-3</v>
          </cell>
          <cell r="I87">
            <v>1000000</v>
          </cell>
          <cell r="J87">
            <v>10</v>
          </cell>
          <cell r="K87">
            <v>978.125</v>
          </cell>
          <cell r="L87">
            <v>61.870255950889451</v>
          </cell>
        </row>
        <row r="88">
          <cell r="B88">
            <v>0.17960000000000001</v>
          </cell>
          <cell r="E88" t="str">
            <v>Inf</v>
          </cell>
          <cell r="F88">
            <v>2.8095238095238095E-3</v>
          </cell>
          <cell r="I88">
            <v>1000000</v>
          </cell>
          <cell r="J88">
            <v>10</v>
          </cell>
          <cell r="K88">
            <v>978.125</v>
          </cell>
          <cell r="L88">
            <v>61.870255950889451</v>
          </cell>
        </row>
        <row r="89">
          <cell r="B89">
            <v>0.14182</v>
          </cell>
          <cell r="E89" t="str">
            <v>Inf</v>
          </cell>
          <cell r="F89">
            <v>3.0476190476190473E-3</v>
          </cell>
          <cell r="I89">
            <v>1000000</v>
          </cell>
          <cell r="J89">
            <v>10</v>
          </cell>
          <cell r="K89">
            <v>978.125</v>
          </cell>
          <cell r="L89">
            <v>61.870255950889451</v>
          </cell>
        </row>
        <row r="90">
          <cell r="B90">
            <v>0.11055</v>
          </cell>
          <cell r="E90" t="str">
            <v>Inf</v>
          </cell>
          <cell r="F90">
            <v>2.9047619047619043E-3</v>
          </cell>
          <cell r="I90">
            <v>1000000</v>
          </cell>
          <cell r="J90">
            <v>10</v>
          </cell>
          <cell r="K90">
            <v>978.125</v>
          </cell>
          <cell r="L90">
            <v>61.870255950889451</v>
          </cell>
        </row>
        <row r="91">
          <cell r="B91">
            <v>8.5389999999999994E-2</v>
          </cell>
          <cell r="E91">
            <v>12</v>
          </cell>
          <cell r="F91">
            <v>1.6956521739130437E-3</v>
          </cell>
          <cell r="I91">
            <v>1000000</v>
          </cell>
          <cell r="J91">
            <v>10</v>
          </cell>
          <cell r="K91">
            <v>978.125</v>
          </cell>
          <cell r="L91">
            <v>61.870255950889451</v>
          </cell>
        </row>
      </sheetData>
      <sheetData sheetId="5">
        <row r="3">
          <cell r="B3">
            <v>41508</v>
          </cell>
          <cell r="C3">
            <v>0.48962962962962964</v>
          </cell>
          <cell r="D3">
            <v>24.5</v>
          </cell>
          <cell r="F3">
            <v>41.6</v>
          </cell>
        </row>
        <row r="4">
          <cell r="B4" t="str">
            <v>S-Dark1</v>
          </cell>
          <cell r="C4" t="str">
            <v>M-Dark1</v>
          </cell>
          <cell r="D4" t="str">
            <v>S-Sig1</v>
          </cell>
          <cell r="E4" t="str">
            <v>M-Sig1</v>
          </cell>
          <cell r="F4" t="str">
            <v>S-Dark2</v>
          </cell>
          <cell r="G4" t="str">
            <v>M-Dark2</v>
          </cell>
          <cell r="H4" t="str">
            <v>S-Sig2</v>
          </cell>
          <cell r="I4" t="str">
            <v>M-Sig2</v>
          </cell>
          <cell r="J4" t="str">
            <v>S-Dark3</v>
          </cell>
          <cell r="K4" t="str">
            <v>M-Dark3</v>
          </cell>
          <cell r="L4" t="str">
            <v>S-Sig3</v>
          </cell>
          <cell r="M4" t="str">
            <v>M-Sig3</v>
          </cell>
          <cell r="N4" t="str">
            <v>S-Dark4</v>
          </cell>
          <cell r="O4" t="str">
            <v>M-Dark4</v>
          </cell>
          <cell r="P4" t="str">
            <v>S-Sig4</v>
          </cell>
          <cell r="Q4" t="str">
            <v>M-Sig4</v>
          </cell>
        </row>
        <row r="11">
          <cell r="B11">
            <v>6.277861E-4</v>
          </cell>
          <cell r="C11">
            <v>-7.9250000000000002E-4</v>
          </cell>
          <cell r="D11">
            <v>5.9275419999999998E-4</v>
          </cell>
          <cell r="E11">
            <v>0.10137839999999999</v>
          </cell>
          <cell r="F11">
            <v>3.2759180000000002E-4</v>
          </cell>
          <cell r="G11">
            <v>-4.0719999999999998E-4</v>
          </cell>
          <cell r="H11">
            <v>5.7204719999999997E-4</v>
          </cell>
          <cell r="I11">
            <v>0.1011383</v>
          </cell>
          <cell r="J11">
            <v>7.2481040000000002E-4</v>
          </cell>
          <cell r="K11">
            <v>-2.2472E-3</v>
          </cell>
          <cell r="L11">
            <v>3.9134119999999998E-4</v>
          </cell>
          <cell r="M11">
            <v>9.8575200000000002E-2</v>
          </cell>
          <cell r="N11">
            <v>4.8266070000000001E-4</v>
          </cell>
          <cell r="O11">
            <v>-1.7654999999999999E-3</v>
          </cell>
          <cell r="P11">
            <v>5.0866889999999997E-4</v>
          </cell>
          <cell r="Q11">
            <v>9.9500699999999997E-2</v>
          </cell>
        </row>
        <row r="12">
          <cell r="B12">
            <v>6.9664840000000004E-4</v>
          </cell>
          <cell r="C12">
            <v>-3.8010000000000002E-4</v>
          </cell>
          <cell r="D12">
            <v>3.1433410000000002E-4</v>
          </cell>
          <cell r="E12">
            <v>0.20090520000000001</v>
          </cell>
          <cell r="F12">
            <v>5.1367320000000004E-4</v>
          </cell>
          <cell r="G12">
            <v>-3.4479999999999998E-4</v>
          </cell>
          <cell r="H12">
            <v>6.6417240000000001E-4</v>
          </cell>
          <cell r="I12">
            <v>0.19890939999999999</v>
          </cell>
          <cell r="J12">
            <v>5.5131729999999995E-4</v>
          </cell>
          <cell r="K12">
            <v>-2.1681000000000001E-3</v>
          </cell>
          <cell r="L12">
            <v>5.1224199999999999E-4</v>
          </cell>
          <cell r="M12">
            <v>0.1986154</v>
          </cell>
          <cell r="N12">
            <v>6.3866070000000001E-4</v>
          </cell>
          <cell r="O12">
            <v>-1.7011999999999999E-3</v>
          </cell>
          <cell r="P12">
            <v>6.3946179999999997E-4</v>
          </cell>
          <cell r="Q12">
            <v>0.1970114</v>
          </cell>
        </row>
        <row r="13">
          <cell r="B13">
            <v>5.3035759999999995E-4</v>
          </cell>
          <cell r="C13">
            <v>-5.8109999999999998E-4</v>
          </cell>
          <cell r="D13">
            <v>7.6541999999999995E-4</v>
          </cell>
          <cell r="E13">
            <v>0.33243299999999998</v>
          </cell>
          <cell r="F13">
            <v>6.9239270000000003E-4</v>
          </cell>
          <cell r="G13">
            <v>-5.8989999999999997E-4</v>
          </cell>
          <cell r="H13">
            <v>4.7065079999999998E-4</v>
          </cell>
          <cell r="I13">
            <v>0.32985700000000001</v>
          </cell>
          <cell r="J13">
            <v>3.1812300000000002E-4</v>
          </cell>
          <cell r="K13">
            <v>-2.1725999999999998E-3</v>
          </cell>
          <cell r="L13">
            <v>3.8470190000000002E-4</v>
          </cell>
          <cell r="M13">
            <v>0.32682800000000001</v>
          </cell>
          <cell r="N13">
            <v>5.5883569999999995E-4</v>
          </cell>
          <cell r="O13">
            <v>-1.5773E-3</v>
          </cell>
          <cell r="P13">
            <v>4.4873770000000002E-4</v>
          </cell>
          <cell r="Q13">
            <v>0.32858900000000002</v>
          </cell>
        </row>
        <row r="14">
          <cell r="B14">
            <v>5.5837770000000001E-4</v>
          </cell>
          <cell r="C14">
            <v>-8.5649999999999995E-4</v>
          </cell>
          <cell r="D14">
            <v>4.9831829999999998E-4</v>
          </cell>
          <cell r="E14">
            <v>0.47267100000000001</v>
          </cell>
          <cell r="F14">
            <v>4.8980520000000002E-4</v>
          </cell>
          <cell r="G14">
            <v>-1.2640000000000001E-4</v>
          </cell>
          <cell r="H14">
            <v>5.6589059999999998E-4</v>
          </cell>
          <cell r="I14">
            <v>0.46782099999999999</v>
          </cell>
          <cell r="J14">
            <v>5.0226839999999997E-4</v>
          </cell>
          <cell r="K14">
            <v>-2.1107000000000001E-3</v>
          </cell>
          <cell r="L14">
            <v>5.3900729999999998E-4</v>
          </cell>
          <cell r="M14">
            <v>0.46504800000000002</v>
          </cell>
          <cell r="N14">
            <v>7.0689899999999998E-4</v>
          </cell>
          <cell r="O14">
            <v>-1.9036999999999999E-3</v>
          </cell>
          <cell r="P14">
            <v>5.7043450000000004E-4</v>
          </cell>
          <cell r="Q14">
            <v>0.46727800000000003</v>
          </cell>
        </row>
        <row r="15">
          <cell r="B15">
            <v>7.2510369999999997E-4</v>
          </cell>
          <cell r="C15">
            <v>-6.7299999999999999E-4</v>
          </cell>
          <cell r="D15">
            <v>6.1438409999999997E-4</v>
          </cell>
          <cell r="E15">
            <v>0.65497700000000003</v>
          </cell>
          <cell r="F15">
            <v>5.4891439999999998E-4</v>
          </cell>
          <cell r="G15">
            <v>-1.7990000000000001E-4</v>
          </cell>
          <cell r="H15">
            <v>7.7764670000000002E-4</v>
          </cell>
          <cell r="I15">
            <v>0.64870700000000003</v>
          </cell>
          <cell r="J15">
            <v>5.1965379999999997E-4</v>
          </cell>
          <cell r="K15">
            <v>-2.0549000000000001E-3</v>
          </cell>
          <cell r="L15">
            <v>4.0753460000000002E-4</v>
          </cell>
          <cell r="M15">
            <v>0.64572200000000002</v>
          </cell>
          <cell r="N15">
            <v>4.4266470000000002E-4</v>
          </cell>
          <cell r="O15">
            <v>-1.7166E-3</v>
          </cell>
          <cell r="P15">
            <v>6.4519079999999997E-4</v>
          </cell>
          <cell r="Q15">
            <v>0.64826399999999995</v>
          </cell>
        </row>
        <row r="16">
          <cell r="B16">
            <v>6.0474750000000005E-4</v>
          </cell>
          <cell r="C16">
            <v>-8.162E-4</v>
          </cell>
          <cell r="D16">
            <v>5.3549979999999999E-4</v>
          </cell>
          <cell r="E16">
            <v>0.91104399999999996</v>
          </cell>
          <cell r="F16">
            <v>7.9378339999999997E-4</v>
          </cell>
          <cell r="G16">
            <v>-5.3689999999999999E-4</v>
          </cell>
          <cell r="H16">
            <v>4.2565110000000001E-4</v>
          </cell>
          <cell r="I16">
            <v>0.90314300000000003</v>
          </cell>
          <cell r="J16">
            <v>7.9654260000000001E-4</v>
          </cell>
          <cell r="K16">
            <v>-2.0861999999999999E-3</v>
          </cell>
          <cell r="L16">
            <v>9.7680659999999997E-4</v>
          </cell>
          <cell r="M16">
            <v>0.89974799999999999</v>
          </cell>
          <cell r="N16">
            <v>5.9827980000000001E-4</v>
          </cell>
          <cell r="O16">
            <v>-1.9843999999999999E-3</v>
          </cell>
          <cell r="P16">
            <v>4.4347240000000001E-4</v>
          </cell>
          <cell r="Q16">
            <v>0.90335699999999997</v>
          </cell>
        </row>
        <row r="17">
          <cell r="B17">
            <v>3.8141020000000001E-4</v>
          </cell>
          <cell r="C17">
            <v>-3.9080000000000001E-4</v>
          </cell>
          <cell r="D17">
            <v>4.7789929999999999E-4</v>
          </cell>
          <cell r="E17">
            <v>1.1950909999999999</v>
          </cell>
          <cell r="F17">
            <v>4.2791820000000002E-4</v>
          </cell>
          <cell r="G17">
            <v>-1.518E-4</v>
          </cell>
          <cell r="H17">
            <v>6.7631440000000004E-4</v>
          </cell>
          <cell r="I17">
            <v>1.187643</v>
          </cell>
          <cell r="J17">
            <v>7.4688450000000002E-4</v>
          </cell>
          <cell r="K17">
            <v>-2.2032000000000002E-3</v>
          </cell>
          <cell r="L17">
            <v>5.7472800000000004E-4</v>
          </cell>
          <cell r="M17">
            <v>1.182893</v>
          </cell>
          <cell r="N17">
            <v>6.4087849999999995E-4</v>
          </cell>
          <cell r="O17">
            <v>-2.0988999999999999E-3</v>
          </cell>
          <cell r="P17">
            <v>6.1440210000000004E-4</v>
          </cell>
          <cell r="Q17">
            <v>1.1876869999999999</v>
          </cell>
        </row>
        <row r="18">
          <cell r="B18">
            <v>4.692338E-4</v>
          </cell>
          <cell r="C18">
            <v>-5.488E-4</v>
          </cell>
          <cell r="D18">
            <v>5.9734969999999997E-4</v>
          </cell>
          <cell r="E18">
            <v>1.286756</v>
          </cell>
          <cell r="F18">
            <v>5.9698460000000004E-4</v>
          </cell>
          <cell r="G18">
            <v>-3.6479999999999998E-4</v>
          </cell>
          <cell r="H18">
            <v>5.4847360000000005E-4</v>
          </cell>
          <cell r="I18">
            <v>1.281987</v>
          </cell>
          <cell r="J18">
            <v>4.0936480000000001E-4</v>
          </cell>
          <cell r="K18">
            <v>-1.8522E-3</v>
          </cell>
          <cell r="L18">
            <v>5.6642740000000002E-4</v>
          </cell>
          <cell r="M18">
            <v>1.276988</v>
          </cell>
          <cell r="N18">
            <v>5.4509879999999999E-4</v>
          </cell>
          <cell r="O18">
            <v>-2.0043999999999999E-3</v>
          </cell>
          <cell r="P18">
            <v>6.5729160000000005E-4</v>
          </cell>
          <cell r="Q18">
            <v>1.2811790000000001</v>
          </cell>
        </row>
        <row r="19">
          <cell r="B19">
            <v>5.1884590000000001E-5</v>
          </cell>
          <cell r="C19">
            <v>-1.03E-5</v>
          </cell>
          <cell r="D19">
            <v>2.626785E-5</v>
          </cell>
          <cell r="E19">
            <v>0.22972300000000001</v>
          </cell>
          <cell r="F19">
            <v>4.6414079999999999E-5</v>
          </cell>
          <cell r="G19">
            <v>-2.0599999999999999E-5</v>
          </cell>
          <cell r="H19">
            <v>8.0249609999999999E-5</v>
          </cell>
          <cell r="I19">
            <v>0.22920199999999999</v>
          </cell>
          <cell r="J19">
            <v>7.6678909999999996E-5</v>
          </cell>
          <cell r="K19">
            <v>-2.0689999999999999E-4</v>
          </cell>
          <cell r="L19">
            <v>6.2547759999999995E-5</v>
          </cell>
          <cell r="M19">
            <v>0.22919700000000001</v>
          </cell>
          <cell r="N19">
            <v>5.9036809999999998E-5</v>
          </cell>
          <cell r="O19">
            <v>-4.4700000000000002E-5</v>
          </cell>
          <cell r="P19">
            <v>4.1217580000000002E-5</v>
          </cell>
          <cell r="Q19">
            <v>0.230631</v>
          </cell>
        </row>
        <row r="20">
          <cell r="B20">
            <v>4.5447040000000003E-5</v>
          </cell>
          <cell r="C20">
            <v>6.1E-6</v>
          </cell>
          <cell r="D20">
            <v>7.5638029999999999E-5</v>
          </cell>
          <cell r="E20">
            <v>0.46552900000000003</v>
          </cell>
          <cell r="F20">
            <v>6.9343030000000005E-5</v>
          </cell>
          <cell r="G20">
            <v>-6.97E-5</v>
          </cell>
          <cell r="H20">
            <v>6.7197879999999994E-5</v>
          </cell>
          <cell r="I20">
            <v>0.46431600000000001</v>
          </cell>
          <cell r="J20">
            <v>5.251973E-5</v>
          </cell>
          <cell r="K20">
            <v>-2.0110000000000001E-4</v>
          </cell>
          <cell r="L20">
            <v>5.2925520000000001E-5</v>
          </cell>
          <cell r="M20">
            <v>0.46349299999999999</v>
          </cell>
          <cell r="N20">
            <v>6.5597170000000001E-5</v>
          </cell>
          <cell r="O20">
            <v>-2.4899999999999999E-5</v>
          </cell>
          <cell r="P20">
            <v>5.2925520000000001E-5</v>
          </cell>
          <cell r="Q20">
            <v>0.46524300000000002</v>
          </cell>
        </row>
        <row r="21">
          <cell r="B21">
            <v>5.6012299999999999E-5</v>
          </cell>
          <cell r="C21">
            <v>-5.66E-5</v>
          </cell>
          <cell r="D21">
            <v>4.1217580000000002E-5</v>
          </cell>
          <cell r="E21">
            <v>0.627749</v>
          </cell>
          <cell r="F21">
            <v>5.5042310000000001E-5</v>
          </cell>
          <cell r="G21">
            <v>-7.3899999999999994E-5</v>
          </cell>
          <cell r="H21">
            <v>7.8485669999999998E-5</v>
          </cell>
          <cell r="I21">
            <v>0.62742399999999998</v>
          </cell>
          <cell r="J21">
            <v>4.9323080000000001E-5</v>
          </cell>
          <cell r="K21">
            <v>-1.761E-4</v>
          </cell>
          <cell r="L21">
            <v>5.9104429999999998E-5</v>
          </cell>
          <cell r="M21">
            <v>0.62630399999999997</v>
          </cell>
          <cell r="N21">
            <v>6.0771340000000001E-5</v>
          </cell>
          <cell r="O21">
            <v>-4.6600000000000001E-5</v>
          </cell>
          <cell r="P21">
            <v>6.5455669999999995E-5</v>
          </cell>
          <cell r="Q21">
            <v>0.62844199999999995</v>
          </cell>
        </row>
        <row r="22">
          <cell r="B22">
            <v>5.6973289999999998E-5</v>
          </cell>
          <cell r="C22">
            <v>4.18E-5</v>
          </cell>
          <cell r="D22">
            <v>5.6813539999999997E-5</v>
          </cell>
          <cell r="E22">
            <v>0.72813499999999998</v>
          </cell>
          <cell r="F22">
            <v>5.4986869999999998E-5</v>
          </cell>
          <cell r="G22">
            <v>-5.1E-5</v>
          </cell>
          <cell r="H22">
            <v>8.6049079999999994E-5</v>
          </cell>
          <cell r="I22">
            <v>0.72904400000000003</v>
          </cell>
          <cell r="J22">
            <v>5.2734559999999999E-5</v>
          </cell>
          <cell r="K22">
            <v>-2.0340000000000001E-4</v>
          </cell>
          <cell r="L22">
            <v>8.5693249999999998E-5</v>
          </cell>
          <cell r="M22">
            <v>0.72799899999999995</v>
          </cell>
          <cell r="N22">
            <v>6.6079079999999994E-5</v>
          </cell>
          <cell r="O22">
            <v>-6.0000000000000002E-6</v>
          </cell>
          <cell r="P22">
            <v>8.8449609999999995E-5</v>
          </cell>
          <cell r="Q22">
            <v>0.73031299999999999</v>
          </cell>
        </row>
        <row r="23">
          <cell r="B23">
            <v>4.467711E-5</v>
          </cell>
          <cell r="C23">
            <v>-4.4000000000000002E-6</v>
          </cell>
          <cell r="D23">
            <v>1.1599330000000001E-4</v>
          </cell>
          <cell r="E23">
            <v>0.84273900000000002</v>
          </cell>
          <cell r="F23">
            <v>5.5618639999999999E-5</v>
          </cell>
          <cell r="G23">
            <v>-3.9100000000000002E-5</v>
          </cell>
          <cell r="H23">
            <v>3.765339E-5</v>
          </cell>
          <cell r="I23">
            <v>0.84459200000000001</v>
          </cell>
          <cell r="J23">
            <v>4.9786210000000002E-5</v>
          </cell>
          <cell r="K23">
            <v>-1.7699999999999999E-4</v>
          </cell>
          <cell r="L23">
            <v>4.9988889999999998E-5</v>
          </cell>
          <cell r="M23">
            <v>0.843171</v>
          </cell>
          <cell r="N23">
            <v>3.8907299999999999E-5</v>
          </cell>
          <cell r="O23">
            <v>9.0000000000000002E-6</v>
          </cell>
          <cell r="P23">
            <v>9.7524929999999994E-5</v>
          </cell>
          <cell r="Q23">
            <v>0.84604999999999997</v>
          </cell>
        </row>
        <row r="24">
          <cell r="B24">
            <v>5.6526200000000001E-5</v>
          </cell>
          <cell r="C24">
            <v>-2.9899999999999998E-5</v>
          </cell>
          <cell r="D24">
            <v>5.0122069999999997E-5</v>
          </cell>
          <cell r="E24">
            <v>1.0660769999999999</v>
          </cell>
          <cell r="F24">
            <v>7.4129090000000001E-5</v>
          </cell>
          <cell r="G24">
            <v>-6.7299999999999996E-5</v>
          </cell>
          <cell r="H24">
            <v>9.8098589999999995E-5</v>
          </cell>
          <cell r="I24">
            <v>1.069877</v>
          </cell>
          <cell r="J24">
            <v>7.6773839999999996E-5</v>
          </cell>
          <cell r="K24">
            <v>-1.9699999999999999E-4</v>
          </cell>
          <cell r="L24">
            <v>5.5216739999999999E-5</v>
          </cell>
          <cell r="M24">
            <v>1.0683560000000001</v>
          </cell>
          <cell r="N24">
            <v>5.114424E-5</v>
          </cell>
          <cell r="O24">
            <v>-2.3200000000000001E-5</v>
          </cell>
          <cell r="P24">
            <v>6.5328229999999998E-5</v>
          </cell>
          <cell r="Q24">
            <v>1.071917</v>
          </cell>
        </row>
        <row r="25">
          <cell r="B25">
            <v>7.7200750000000005E-5</v>
          </cell>
          <cell r="C25">
            <v>-2.9200000000000002E-5</v>
          </cell>
          <cell r="D25">
            <v>5.6263269999999998E-5</v>
          </cell>
          <cell r="E25">
            <v>1.2977810000000001</v>
          </cell>
          <cell r="F25">
            <v>4.6568469999999998E-5</v>
          </cell>
          <cell r="G25">
            <v>-4.9200000000000003E-5</v>
          </cell>
          <cell r="H25">
            <v>6.1904949999999994E-5</v>
          </cell>
          <cell r="I25">
            <v>1.303509</v>
          </cell>
          <cell r="J25">
            <v>5.7471640000000003E-5</v>
          </cell>
          <cell r="K25">
            <v>-1.7689999999999999E-4</v>
          </cell>
          <cell r="L25">
            <v>5.8271399999999999E-5</v>
          </cell>
          <cell r="M25">
            <v>1.301598</v>
          </cell>
          <cell r="N25">
            <v>3.2752269999999999E-5</v>
          </cell>
          <cell r="O25">
            <v>-3.6399999999999997E-5</v>
          </cell>
          <cell r="P25">
            <v>9.29516E-5</v>
          </cell>
          <cell r="Q25">
            <v>1.3058019999999999</v>
          </cell>
        </row>
        <row r="26">
          <cell r="B26">
            <v>5.1142069999999997E-5</v>
          </cell>
          <cell r="C26">
            <v>-4.7999999999999998E-6</v>
          </cell>
          <cell r="D26">
            <v>6.3113649999999995E-5</v>
          </cell>
          <cell r="E26">
            <v>1.6236550000000001</v>
          </cell>
          <cell r="F26">
            <v>5.3479900000000003E-5</v>
          </cell>
          <cell r="G26">
            <v>-2.3900000000000002E-5</v>
          </cell>
          <cell r="H26">
            <v>8.5790439999999994E-5</v>
          </cell>
          <cell r="I26">
            <v>1.631456</v>
          </cell>
          <cell r="J26">
            <v>4.8785700000000003E-5</v>
          </cell>
          <cell r="K26">
            <v>-1.794E-4</v>
          </cell>
          <cell r="L26">
            <v>4.967673E-5</v>
          </cell>
          <cell r="M26">
            <v>1.629057</v>
          </cell>
          <cell r="N26">
            <v>5.3991769999999998E-5</v>
          </cell>
          <cell r="O26">
            <v>-5.1999999999999997E-5</v>
          </cell>
          <cell r="P26">
            <v>9.3386889999999998E-5</v>
          </cell>
          <cell r="Q26">
            <v>1.6339410000000001</v>
          </cell>
        </row>
        <row r="27">
          <cell r="B27">
            <v>2.8994440000000001E-5</v>
          </cell>
          <cell r="C27">
            <v>-3.7000000000000002E-6</v>
          </cell>
          <cell r="D27">
            <v>7.2846869999999993E-5</v>
          </cell>
          <cell r="E27">
            <v>1.8874979999999999</v>
          </cell>
          <cell r="F27">
            <v>5.6294959999999999E-5</v>
          </cell>
          <cell r="G27">
            <v>-1.77E-5</v>
          </cell>
          <cell r="H27">
            <v>9.6660919999999996E-5</v>
          </cell>
          <cell r="I27">
            <v>1.8971290000000001</v>
          </cell>
          <cell r="J27">
            <v>3.937343E-5</v>
          </cell>
          <cell r="K27">
            <v>-2.1560000000000001E-4</v>
          </cell>
          <cell r="L27">
            <v>7.0087249999999999E-5</v>
          </cell>
          <cell r="M27">
            <v>1.8945970000000001</v>
          </cell>
          <cell r="N27">
            <v>5.6408140000000002E-5</v>
          </cell>
          <cell r="O27">
            <v>-2.5899999999999999E-5</v>
          </cell>
          <cell r="P27">
            <v>5.2925520000000001E-5</v>
          </cell>
          <cell r="Q27">
            <v>1.9005069999999999</v>
          </cell>
        </row>
        <row r="28">
          <cell r="B28">
            <v>4.8903989999999997E-5</v>
          </cell>
          <cell r="C28">
            <v>-3.8600000000000003E-5</v>
          </cell>
          <cell r="D28">
            <v>7.8145160000000002E-5</v>
          </cell>
          <cell r="E28">
            <v>1.982548</v>
          </cell>
          <cell r="F28">
            <v>6.9482609999999998E-5</v>
          </cell>
          <cell r="G28">
            <v>-2.8500000000000002E-5</v>
          </cell>
          <cell r="H28">
            <v>5.7503619999999997E-5</v>
          </cell>
          <cell r="I28">
            <v>1.9931179999999999</v>
          </cell>
          <cell r="J28">
            <v>6.0663459999999997E-5</v>
          </cell>
          <cell r="K28">
            <v>-1.995E-4</v>
          </cell>
          <cell r="L28">
            <v>1.307925E-4</v>
          </cell>
          <cell r="M28">
            <v>1.990448</v>
          </cell>
          <cell r="N28">
            <v>5.5845520000000001E-5</v>
          </cell>
          <cell r="O28">
            <v>-4.5500000000000001E-5</v>
          </cell>
          <cell r="P28">
            <v>3.020302E-5</v>
          </cell>
          <cell r="Q28">
            <v>1.996737</v>
          </cell>
        </row>
        <row r="29">
          <cell r="B29">
            <v>9.9755260000000008E-6</v>
          </cell>
          <cell r="C29">
            <v>2.58E-5</v>
          </cell>
          <cell r="D29">
            <v>1.0976740000000001E-5</v>
          </cell>
          <cell r="E29">
            <v>0.2057804</v>
          </cell>
          <cell r="F29">
            <v>9.2981479999999996E-6</v>
          </cell>
          <cell r="G29">
            <v>-2.4300000000000001E-5</v>
          </cell>
          <cell r="H29">
            <v>1.176813E-5</v>
          </cell>
          <cell r="I29">
            <v>0.2068026</v>
          </cell>
          <cell r="J29">
            <v>1.102976E-5</v>
          </cell>
          <cell r="K29">
            <v>-2.5010000000000001E-4</v>
          </cell>
          <cell r="L29">
            <v>1.1019679999999999E-5</v>
          </cell>
          <cell r="M29">
            <v>0.20636090000000001</v>
          </cell>
          <cell r="N29">
            <v>1.096915E-5</v>
          </cell>
          <cell r="O29">
            <v>1.049E-4</v>
          </cell>
          <cell r="P29">
            <v>1.2982469999999999E-5</v>
          </cell>
          <cell r="Q29">
            <v>0.2072869</v>
          </cell>
        </row>
        <row r="30">
          <cell r="B30">
            <v>9.1293180000000001E-6</v>
          </cell>
          <cell r="C30">
            <v>2.23E-5</v>
          </cell>
          <cell r="D30">
            <v>9.4868330000000007E-6</v>
          </cell>
          <cell r="E30">
            <v>0.22686300000000001</v>
          </cell>
          <cell r="F30">
            <v>7.2264939999999996E-6</v>
          </cell>
          <cell r="G30">
            <v>-3.8999999999999999E-5</v>
          </cell>
          <cell r="H30">
            <v>1.264911E-5</v>
          </cell>
          <cell r="I30">
            <v>0.22794600000000001</v>
          </cell>
          <cell r="J30">
            <v>1.0616549999999999E-5</v>
          </cell>
          <cell r="K30">
            <v>-2.4840000000000002E-4</v>
          </cell>
          <cell r="L30">
            <v>9.6609180000000002E-6</v>
          </cell>
          <cell r="M30">
            <v>0.227436</v>
          </cell>
          <cell r="N30">
            <v>7.5099930000000001E-6</v>
          </cell>
          <cell r="O30">
            <v>1.172E-4</v>
          </cell>
          <cell r="P30">
            <v>3.4253949999999998E-5</v>
          </cell>
          <cell r="Q30">
            <v>0.228542</v>
          </cell>
        </row>
        <row r="31">
          <cell r="B31">
            <v>8.9442720000000001E-6</v>
          </cell>
          <cell r="C31">
            <v>3.4E-5</v>
          </cell>
          <cell r="D31">
            <v>1.2692959999999999E-5</v>
          </cell>
          <cell r="E31">
            <v>0.25686500000000001</v>
          </cell>
          <cell r="F31">
            <v>3.4721109999999998E-6</v>
          </cell>
          <cell r="G31">
            <v>-3.2499999999999997E-5</v>
          </cell>
          <cell r="H31">
            <v>1.825742E-5</v>
          </cell>
          <cell r="I31">
            <v>0.25814999999999999</v>
          </cell>
          <cell r="J31">
            <v>6.419588E-6</v>
          </cell>
          <cell r="K31">
            <v>-2.3589999999999999E-4</v>
          </cell>
          <cell r="L31">
            <v>1.154701E-5</v>
          </cell>
          <cell r="M31">
            <v>0.25768000000000002</v>
          </cell>
          <cell r="N31">
            <v>1.1462500000000001E-5</v>
          </cell>
          <cell r="O31">
            <v>1.2349999999999999E-4</v>
          </cell>
          <cell r="P31">
            <v>1.1785110000000001E-5</v>
          </cell>
          <cell r="Q31">
            <v>0.25875500000000001</v>
          </cell>
        </row>
        <row r="32">
          <cell r="B32">
            <v>1.161847E-5</v>
          </cell>
          <cell r="C32">
            <v>2.0100000000000001E-5</v>
          </cell>
          <cell r="D32">
            <v>2.4037010000000001E-5</v>
          </cell>
          <cell r="E32">
            <v>0.29643999999999998</v>
          </cell>
          <cell r="F32">
            <v>1.031504E-5</v>
          </cell>
          <cell r="G32">
            <v>-2.9799999999999999E-5</v>
          </cell>
          <cell r="H32">
            <v>1.2692959999999999E-5</v>
          </cell>
          <cell r="I32">
            <v>0.29796499999999998</v>
          </cell>
          <cell r="J32">
            <v>1.0400850000000001E-5</v>
          </cell>
          <cell r="K32">
            <v>-2.4279999999999999E-4</v>
          </cell>
          <cell r="L32">
            <v>1.197219E-5</v>
          </cell>
          <cell r="M32">
            <v>0.29745899999999997</v>
          </cell>
          <cell r="N32">
            <v>7.6077449999999998E-6</v>
          </cell>
          <cell r="O32">
            <v>1.2889999999999999E-4</v>
          </cell>
          <cell r="P32">
            <v>1.264911E-5</v>
          </cell>
          <cell r="Q32">
            <v>0.29863400000000001</v>
          </cell>
        </row>
        <row r="33">
          <cell r="B33">
            <v>7.4714269999999998E-6</v>
          </cell>
          <cell r="C33">
            <v>2.6400000000000001E-5</v>
          </cell>
          <cell r="D33">
            <v>1.264911E-5</v>
          </cell>
          <cell r="E33">
            <v>0.35197400000000001</v>
          </cell>
          <cell r="F33">
            <v>9.9129540000000006E-6</v>
          </cell>
          <cell r="G33">
            <v>-2.8399999999999999E-5</v>
          </cell>
          <cell r="H33">
            <v>1.2516660000000001E-5</v>
          </cell>
          <cell r="I33">
            <v>0.35378300000000001</v>
          </cell>
          <cell r="J33">
            <v>7.3605559999999999E-6</v>
          </cell>
          <cell r="K33">
            <v>-2.5379999999999999E-4</v>
          </cell>
          <cell r="L33">
            <v>1.349897E-5</v>
          </cell>
          <cell r="M33">
            <v>0.35327599999999998</v>
          </cell>
          <cell r="N33">
            <v>9.9716260000000007E-6</v>
          </cell>
          <cell r="O33">
            <v>1.259E-4</v>
          </cell>
          <cell r="P33">
            <v>1.1005050000000001E-5</v>
          </cell>
          <cell r="Q33">
            <v>0.35462100000000002</v>
          </cell>
        </row>
        <row r="34">
          <cell r="B34">
            <v>6.5149400000000003E-6</v>
          </cell>
          <cell r="C34">
            <v>5.3999999999999998E-5</v>
          </cell>
          <cell r="D34">
            <v>1.37032E-5</v>
          </cell>
          <cell r="E34">
            <v>0.39642100000000002</v>
          </cell>
          <cell r="F34">
            <v>9.6660920000000003E-6</v>
          </cell>
          <cell r="G34">
            <v>-3.1900000000000003E-5</v>
          </cell>
          <cell r="H34">
            <v>2.2135939999999999E-5</v>
          </cell>
          <cell r="I34">
            <v>0.398453</v>
          </cell>
          <cell r="J34">
            <v>5.7773499999999998E-6</v>
          </cell>
          <cell r="K34">
            <v>-2.586E-4</v>
          </cell>
          <cell r="L34">
            <v>1.37032E-5</v>
          </cell>
          <cell r="M34">
            <v>0.397839</v>
          </cell>
          <cell r="N34">
            <v>7.9274490000000004E-6</v>
          </cell>
          <cell r="O34">
            <v>1.1519999999999999E-4</v>
          </cell>
          <cell r="P34">
            <v>1.286684E-5</v>
          </cell>
          <cell r="Q34">
            <v>0.39935100000000001</v>
          </cell>
        </row>
        <row r="35">
          <cell r="B35">
            <v>9.4286800000000003E-6</v>
          </cell>
          <cell r="C35">
            <v>2.97E-5</v>
          </cell>
          <cell r="D35">
            <v>6.7494860000000004E-6</v>
          </cell>
          <cell r="E35">
            <v>0.43227300000000002</v>
          </cell>
          <cell r="F35">
            <v>9.5707889999999998E-6</v>
          </cell>
          <cell r="G35">
            <v>-3.26E-5</v>
          </cell>
          <cell r="H35">
            <v>4.2216370000000003E-5</v>
          </cell>
          <cell r="I35">
            <v>0.43460599999999999</v>
          </cell>
          <cell r="J35">
            <v>1.17232E-5</v>
          </cell>
          <cell r="K35">
            <v>-2.4689999999999998E-4</v>
          </cell>
          <cell r="L35">
            <v>1.2516660000000001E-5</v>
          </cell>
          <cell r="M35">
            <v>0.43394700000000003</v>
          </cell>
          <cell r="N35">
            <v>7.7488350000000002E-6</v>
          </cell>
          <cell r="O35">
            <v>1.176E-4</v>
          </cell>
          <cell r="P35">
            <v>1.1005050000000001E-5</v>
          </cell>
          <cell r="Q35">
            <v>0.43549900000000002</v>
          </cell>
        </row>
        <row r="36">
          <cell r="B36">
            <v>7.5048130000000003E-6</v>
          </cell>
          <cell r="C36">
            <v>1.59E-5</v>
          </cell>
          <cell r="D36">
            <v>1.054093E-5</v>
          </cell>
          <cell r="E36">
            <v>0.47466000000000003</v>
          </cell>
          <cell r="F36">
            <v>9.0363459999999994E-6</v>
          </cell>
          <cell r="G36">
            <v>-2.7100000000000001E-5</v>
          </cell>
          <cell r="H36">
            <v>8.2327259999999994E-6</v>
          </cell>
          <cell r="I36">
            <v>0.47712300000000002</v>
          </cell>
          <cell r="J36">
            <v>1.027402E-5</v>
          </cell>
          <cell r="K36">
            <v>-2.5099999999999998E-4</v>
          </cell>
          <cell r="L36">
            <v>1.7669809999999999E-5</v>
          </cell>
          <cell r="M36">
            <v>0.47645700000000002</v>
          </cell>
          <cell r="N36">
            <v>9.357706E-6</v>
          </cell>
          <cell r="O36">
            <v>1.033E-4</v>
          </cell>
          <cell r="P36">
            <v>2.1832699999999999E-5</v>
          </cell>
          <cell r="Q36">
            <v>0.478161</v>
          </cell>
        </row>
        <row r="37">
          <cell r="B37">
            <v>8.154753E-6</v>
          </cell>
          <cell r="C37">
            <v>1.15E-5</v>
          </cell>
          <cell r="D37">
            <v>1.7288399999999999E-5</v>
          </cell>
          <cell r="E37">
            <v>0.51423099999999999</v>
          </cell>
          <cell r="F37">
            <v>1.1137519999999999E-5</v>
          </cell>
          <cell r="G37">
            <v>-2.0599999999999999E-5</v>
          </cell>
          <cell r="H37">
            <v>2.0138410000000001E-5</v>
          </cell>
          <cell r="I37">
            <v>0.51696500000000001</v>
          </cell>
          <cell r="J37">
            <v>5.8156879999999997E-6</v>
          </cell>
          <cell r="K37">
            <v>-2.5139999999999999E-4</v>
          </cell>
          <cell r="L37">
            <v>1.264911E-5</v>
          </cell>
          <cell r="M37">
            <v>0.51621399999999995</v>
          </cell>
          <cell r="N37">
            <v>9.6315450000000006E-6</v>
          </cell>
          <cell r="O37">
            <v>1.011E-4</v>
          </cell>
          <cell r="P37">
            <v>1.5670209999999998E-5</v>
          </cell>
          <cell r="Q37">
            <v>0.51802700000000002</v>
          </cell>
        </row>
        <row r="38">
          <cell r="B38">
            <v>6.1246319999999998E-6</v>
          </cell>
          <cell r="C38">
            <v>2.9799999999999999E-5</v>
          </cell>
          <cell r="D38">
            <v>7.5579240000000006E-5</v>
          </cell>
          <cell r="E38">
            <v>0.54261300000000001</v>
          </cell>
          <cell r="F38">
            <v>1.2523759999999999E-5</v>
          </cell>
          <cell r="G38">
            <v>-3.0800000000000003E-5</v>
          </cell>
          <cell r="H38">
            <v>4.2229530000000002E-5</v>
          </cell>
          <cell r="I38">
            <v>0.54523500000000003</v>
          </cell>
          <cell r="J38">
            <v>6.9474219999999999E-6</v>
          </cell>
          <cell r="K38">
            <v>-2.4860000000000003E-4</v>
          </cell>
          <cell r="L38">
            <v>2.173067E-5</v>
          </cell>
          <cell r="M38">
            <v>0.54466499999999995</v>
          </cell>
          <cell r="N38">
            <v>8.0450119999999995E-6</v>
          </cell>
          <cell r="O38">
            <v>1.0950000000000001E-4</v>
          </cell>
          <cell r="P38">
            <v>1.286684E-5</v>
          </cell>
          <cell r="Q38">
            <v>0.54651099999999997</v>
          </cell>
        </row>
        <row r="39">
          <cell r="B39">
            <v>1.2591440000000001E-5</v>
          </cell>
          <cell r="C39">
            <v>2.3900000000000002E-5</v>
          </cell>
          <cell r="D39">
            <v>3.5590260000000001E-5</v>
          </cell>
          <cell r="E39">
            <v>0.53547999999999996</v>
          </cell>
          <cell r="F39">
            <v>1.2181949999999999E-5</v>
          </cell>
          <cell r="G39">
            <v>-3.3200000000000001E-5</v>
          </cell>
          <cell r="H39">
            <v>1.197219E-5</v>
          </cell>
          <cell r="I39">
            <v>0.53797099999999998</v>
          </cell>
          <cell r="J39">
            <v>9.5707889999999998E-6</v>
          </cell>
          <cell r="K39">
            <v>-2.5460000000000001E-4</v>
          </cell>
          <cell r="L39">
            <v>1.333333E-5</v>
          </cell>
          <cell r="M39">
            <v>0.53734000000000004</v>
          </cell>
          <cell r="N39">
            <v>9.4727679999999993E-6</v>
          </cell>
          <cell r="O39">
            <v>1.102E-4</v>
          </cell>
          <cell r="P39">
            <v>1.2516660000000001E-5</v>
          </cell>
          <cell r="Q39">
            <v>0.53907700000000003</v>
          </cell>
        </row>
        <row r="40">
          <cell r="B40">
            <v>7.2755299999999996E-6</v>
          </cell>
          <cell r="C40">
            <v>2.4600000000000002E-5</v>
          </cell>
          <cell r="D40">
            <v>7.0047600000000003E-5</v>
          </cell>
          <cell r="E40">
            <v>0.56439799999999996</v>
          </cell>
          <cell r="F40">
            <v>7.6310769999999992E-6</v>
          </cell>
          <cell r="G40">
            <v>-3.2700000000000002E-5</v>
          </cell>
          <cell r="H40">
            <v>6.9482209999999998E-5</v>
          </cell>
          <cell r="I40">
            <v>0.56731500000000001</v>
          </cell>
          <cell r="J40">
            <v>8.6416310000000002E-6</v>
          </cell>
          <cell r="K40">
            <v>-2.6269999999999999E-4</v>
          </cell>
          <cell r="L40">
            <v>2.2705849999999999E-5</v>
          </cell>
          <cell r="M40">
            <v>0.56645400000000001</v>
          </cell>
          <cell r="N40">
            <v>4.2491830000000001E-6</v>
          </cell>
          <cell r="O40">
            <v>1.165E-4</v>
          </cell>
          <cell r="P40">
            <v>4.6619019999999997E-5</v>
          </cell>
          <cell r="Q40">
            <v>0.56842199999999998</v>
          </cell>
        </row>
        <row r="41">
          <cell r="B41">
            <v>7.7035350000000008E-6</v>
          </cell>
          <cell r="C41">
            <v>4.4700000000000002E-5</v>
          </cell>
          <cell r="D41">
            <v>1.286684E-5</v>
          </cell>
          <cell r="E41">
            <v>0.59891899999999998</v>
          </cell>
          <cell r="F41">
            <v>5.2662450000000003E-6</v>
          </cell>
          <cell r="G41">
            <v>-2.2200000000000001E-5</v>
          </cell>
          <cell r="H41">
            <v>7.3854210000000002E-5</v>
          </cell>
          <cell r="I41">
            <v>0.60179899999999997</v>
          </cell>
          <cell r="J41">
            <v>7.2234189999999996E-6</v>
          </cell>
          <cell r="K41">
            <v>-2.4420000000000003E-4</v>
          </cell>
          <cell r="L41">
            <v>1.509231E-5</v>
          </cell>
          <cell r="M41">
            <v>0.60104500000000005</v>
          </cell>
          <cell r="N41">
            <v>9.3214209999999993E-6</v>
          </cell>
          <cell r="O41">
            <v>1.03E-4</v>
          </cell>
          <cell r="P41">
            <v>1.286684E-5</v>
          </cell>
          <cell r="Q41">
            <v>0.60308099999999998</v>
          </cell>
        </row>
        <row r="42">
          <cell r="B42">
            <v>9.7917199999999995E-6</v>
          </cell>
          <cell r="C42">
            <v>3.79E-5</v>
          </cell>
          <cell r="D42">
            <v>3.2249029999999998E-5</v>
          </cell>
          <cell r="E42">
            <v>0.61297199999999996</v>
          </cell>
          <cell r="F42">
            <v>7.1616259999999996E-6</v>
          </cell>
          <cell r="G42">
            <v>-2.0800000000000001E-5</v>
          </cell>
          <cell r="H42">
            <v>1.349897E-5</v>
          </cell>
          <cell r="I42">
            <v>0.61587400000000003</v>
          </cell>
          <cell r="J42">
            <v>9.1311430000000007E-6</v>
          </cell>
          <cell r="K42">
            <v>-2.4259999999999999E-4</v>
          </cell>
          <cell r="L42">
            <v>4.6487750000000002E-5</v>
          </cell>
          <cell r="M42">
            <v>0.61517500000000003</v>
          </cell>
          <cell r="N42">
            <v>1.2083509999999999E-5</v>
          </cell>
          <cell r="O42">
            <v>1.177E-4</v>
          </cell>
          <cell r="P42">
            <v>1.3374940000000001E-5</v>
          </cell>
          <cell r="Q42">
            <v>0.61718300000000004</v>
          </cell>
        </row>
        <row r="43">
          <cell r="B43">
            <v>8.6673079999999994E-6</v>
          </cell>
          <cell r="C43">
            <v>2.9300000000000001E-5</v>
          </cell>
          <cell r="D43">
            <v>4.332051E-5</v>
          </cell>
          <cell r="E43">
            <v>0.63546899999999995</v>
          </cell>
          <cell r="F43">
            <v>1.014834E-5</v>
          </cell>
          <cell r="G43">
            <v>-3.3899999999999997E-5</v>
          </cell>
          <cell r="H43">
            <v>1.173788E-5</v>
          </cell>
          <cell r="I43">
            <v>0.63862600000000003</v>
          </cell>
          <cell r="J43">
            <v>8.5660829999999993E-6</v>
          </cell>
          <cell r="K43">
            <v>-2.4939999999999999E-4</v>
          </cell>
          <cell r="L43">
            <v>1.054093E-5</v>
          </cell>
          <cell r="M43">
            <v>0.63778999999999997</v>
          </cell>
          <cell r="N43">
            <v>1.176435E-5</v>
          </cell>
          <cell r="O43">
            <v>1.048E-4</v>
          </cell>
          <cell r="P43">
            <v>1.316561E-5</v>
          </cell>
          <cell r="Q43">
            <v>0.63991799999999999</v>
          </cell>
        </row>
        <row r="44">
          <cell r="B44">
            <v>5.9029179999999999E-6</v>
          </cell>
          <cell r="C44">
            <v>3.0800000000000003E-5</v>
          </cell>
          <cell r="D44">
            <v>1.229273E-5</v>
          </cell>
          <cell r="E44">
            <v>0.65106200000000003</v>
          </cell>
          <cell r="F44">
            <v>9.9420540000000001E-6</v>
          </cell>
          <cell r="G44">
            <v>-2.48E-5</v>
          </cell>
          <cell r="H44">
            <v>1.154701E-5</v>
          </cell>
          <cell r="I44">
            <v>0.65442999999999996</v>
          </cell>
          <cell r="J44">
            <v>8.0415590000000006E-6</v>
          </cell>
          <cell r="K44">
            <v>-2.5500000000000002E-4</v>
          </cell>
          <cell r="L44">
            <v>9.6609180000000002E-6</v>
          </cell>
          <cell r="M44">
            <v>0.65370600000000001</v>
          </cell>
          <cell r="N44">
            <v>8.2758010000000007E-6</v>
          </cell>
          <cell r="O44">
            <v>1.066E-4</v>
          </cell>
          <cell r="P44">
            <v>1.354006E-5</v>
          </cell>
          <cell r="Q44">
            <v>0.65565499999999999</v>
          </cell>
        </row>
        <row r="45">
          <cell r="B45">
            <v>8.6339119999999999E-6</v>
          </cell>
          <cell r="C45">
            <v>1.9899999999999999E-5</v>
          </cell>
          <cell r="D45">
            <v>1.1005050000000001E-5</v>
          </cell>
          <cell r="E45">
            <v>0.62737100000000001</v>
          </cell>
          <cell r="F45">
            <v>8.2737869999999997E-6</v>
          </cell>
          <cell r="G45">
            <v>-2.97E-5</v>
          </cell>
          <cell r="H45">
            <v>2.58414E-5</v>
          </cell>
          <cell r="I45">
            <v>0.63050700000000004</v>
          </cell>
          <cell r="J45">
            <v>8.3592930000000006E-6</v>
          </cell>
          <cell r="K45">
            <v>-2.4790000000000001E-4</v>
          </cell>
          <cell r="L45">
            <v>2.2010100000000001E-5</v>
          </cell>
          <cell r="M45">
            <v>0.62975800000000004</v>
          </cell>
          <cell r="N45">
            <v>9.9000559999999999E-6</v>
          </cell>
          <cell r="O45">
            <v>1.047E-4</v>
          </cell>
          <cell r="P45">
            <v>1.6193280000000002E-5</v>
          </cell>
          <cell r="Q45">
            <v>0.63165800000000005</v>
          </cell>
        </row>
        <row r="46">
          <cell r="B46">
            <v>1.043552E-5</v>
          </cell>
          <cell r="C46">
            <v>3.4700000000000003E-5</v>
          </cell>
          <cell r="D46">
            <v>1.4142140000000001E-5</v>
          </cell>
          <cell r="E46">
            <v>0.66449000000000003</v>
          </cell>
          <cell r="F46">
            <v>9.9783099999999997E-6</v>
          </cell>
          <cell r="G46">
            <v>-2.4700000000000001E-5</v>
          </cell>
          <cell r="H46">
            <v>1.646545E-5</v>
          </cell>
          <cell r="I46">
            <v>0.66768400000000006</v>
          </cell>
          <cell r="J46">
            <v>1.007748E-5</v>
          </cell>
          <cell r="K46">
            <v>-2.5399999999999999E-4</v>
          </cell>
          <cell r="L46">
            <v>1.2692959999999999E-5</v>
          </cell>
          <cell r="M46">
            <v>0.66698500000000005</v>
          </cell>
          <cell r="N46">
            <v>1.072329E-5</v>
          </cell>
          <cell r="O46">
            <v>1.209E-4</v>
          </cell>
          <cell r="P46">
            <v>1.080123E-5</v>
          </cell>
          <cell r="Q46">
            <v>0.66915500000000006</v>
          </cell>
        </row>
        <row r="47">
          <cell r="B47">
            <v>9.5545219999999999E-6</v>
          </cell>
          <cell r="C47">
            <v>2.48E-5</v>
          </cell>
          <cell r="D47">
            <v>2.5298219999999999E-5</v>
          </cell>
          <cell r="E47">
            <v>0.72148800000000002</v>
          </cell>
          <cell r="F47">
            <v>8.6820379999999998E-6</v>
          </cell>
          <cell r="G47">
            <v>-2.9600000000000001E-5</v>
          </cell>
          <cell r="H47">
            <v>2.2211109999999999E-5</v>
          </cell>
          <cell r="I47">
            <v>0.72530399999999995</v>
          </cell>
          <cell r="J47">
            <v>9.2550289999999996E-6</v>
          </cell>
          <cell r="K47">
            <v>-2.541E-4</v>
          </cell>
          <cell r="L47">
            <v>3.4140229999999998E-5</v>
          </cell>
          <cell r="M47">
            <v>0.72441900000000004</v>
          </cell>
          <cell r="N47">
            <v>7.2884990000000004E-6</v>
          </cell>
          <cell r="O47">
            <v>1.153E-4</v>
          </cell>
          <cell r="P47">
            <v>8.2387969999999996E-5</v>
          </cell>
          <cell r="Q47">
            <v>0.72679899999999997</v>
          </cell>
        </row>
        <row r="48">
          <cell r="B48">
            <v>7.5726110000000002E-6</v>
          </cell>
          <cell r="C48">
            <v>2.23E-5</v>
          </cell>
          <cell r="D48">
            <v>6.5192019999999997E-5</v>
          </cell>
          <cell r="E48">
            <v>0.74504499999999996</v>
          </cell>
          <cell r="F48">
            <v>1.126696E-5</v>
          </cell>
          <cell r="G48">
            <v>-2.2500000000000001E-5</v>
          </cell>
          <cell r="H48">
            <v>3.8658049999999998E-5</v>
          </cell>
          <cell r="I48">
            <v>0.74890500000000004</v>
          </cell>
          <cell r="J48">
            <v>8.2253000000000007E-6</v>
          </cell>
          <cell r="K48">
            <v>-2.499E-4</v>
          </cell>
          <cell r="L48">
            <v>1.8287819999999999E-5</v>
          </cell>
          <cell r="M48">
            <v>0.74807699999999999</v>
          </cell>
          <cell r="N48">
            <v>1.33687E-5</v>
          </cell>
          <cell r="O48">
            <v>1.0950000000000001E-4</v>
          </cell>
          <cell r="P48">
            <v>2.1186999999999999E-5</v>
          </cell>
          <cell r="Q48">
            <v>0.75025600000000003</v>
          </cell>
        </row>
        <row r="49">
          <cell r="B49">
            <v>8.1676869999999992E-6</v>
          </cell>
          <cell r="C49">
            <v>1.24E-5</v>
          </cell>
          <cell r="D49">
            <v>5.1650539999999999E-5</v>
          </cell>
          <cell r="E49">
            <v>0.75486299999999995</v>
          </cell>
          <cell r="F49">
            <v>6.6198359999999999E-6</v>
          </cell>
          <cell r="G49">
            <v>-2.44E-5</v>
          </cell>
          <cell r="H49">
            <v>3.3333329999999997E-5</v>
          </cell>
          <cell r="I49">
            <v>0.75934000000000001</v>
          </cell>
          <cell r="J49">
            <v>1.0365010000000001E-5</v>
          </cell>
          <cell r="K49">
            <v>-2.4610000000000002E-4</v>
          </cell>
          <cell r="L49">
            <v>4.7656179999999998E-5</v>
          </cell>
          <cell r="M49">
            <v>0.75858400000000004</v>
          </cell>
          <cell r="N49">
            <v>8.4957510000000002E-6</v>
          </cell>
          <cell r="O49">
            <v>9.2200000000000005E-5</v>
          </cell>
          <cell r="P49">
            <v>7.6223360000000003E-5</v>
          </cell>
          <cell r="Q49">
            <v>0.76088100000000003</v>
          </cell>
        </row>
        <row r="50">
          <cell r="B50">
            <v>9.3861600000000006E-6</v>
          </cell>
          <cell r="C50">
            <v>1.91E-5</v>
          </cell>
          <cell r="D50">
            <v>7.5011109999999998E-5</v>
          </cell>
          <cell r="E50">
            <v>0.77631600000000001</v>
          </cell>
          <cell r="F50">
            <v>6.6999169999999998E-6</v>
          </cell>
          <cell r="G50">
            <v>-2.1999999999999999E-5</v>
          </cell>
          <cell r="H50">
            <v>7.2180329999999999E-5</v>
          </cell>
          <cell r="I50">
            <v>0.78096900000000002</v>
          </cell>
          <cell r="J50">
            <v>8.8374200000000008E-6</v>
          </cell>
          <cell r="K50">
            <v>-2.5510000000000002E-4</v>
          </cell>
          <cell r="L50">
            <v>7.5461539999999999E-5</v>
          </cell>
          <cell r="M50">
            <v>0.77984500000000001</v>
          </cell>
          <cell r="N50">
            <v>1.1593099999999999E-5</v>
          </cell>
          <cell r="O50">
            <v>1.022E-4</v>
          </cell>
          <cell r="P50">
            <v>6.1788169999999997E-5</v>
          </cell>
          <cell r="Q50">
            <v>0.78204200000000001</v>
          </cell>
        </row>
        <row r="51">
          <cell r="B51">
            <v>9.1554480000000001E-6</v>
          </cell>
          <cell r="C51">
            <v>2.0400000000000001E-5</v>
          </cell>
          <cell r="D51">
            <v>2.0138410000000001E-5</v>
          </cell>
          <cell r="E51">
            <v>0.84733499999999995</v>
          </cell>
          <cell r="F51">
            <v>1.2081209999999999E-5</v>
          </cell>
          <cell r="G51">
            <v>-3.9199999999999997E-5</v>
          </cell>
          <cell r="H51">
            <v>1.154701E-5</v>
          </cell>
          <cell r="I51">
            <v>0.85216000000000003</v>
          </cell>
          <cell r="J51">
            <v>1.0545669999999999E-5</v>
          </cell>
          <cell r="K51">
            <v>-2.5290000000000002E-4</v>
          </cell>
          <cell r="L51">
            <v>2.91357E-5</v>
          </cell>
          <cell r="M51">
            <v>0.85101400000000005</v>
          </cell>
          <cell r="N51">
            <v>1.381465E-5</v>
          </cell>
          <cell r="O51">
            <v>1.138E-4</v>
          </cell>
          <cell r="P51">
            <v>2.7668669999999999E-5</v>
          </cell>
          <cell r="Q51">
            <v>0.85337099999999999</v>
          </cell>
        </row>
        <row r="52">
          <cell r="B52">
            <v>7.8598840000000003E-6</v>
          </cell>
          <cell r="C52">
            <v>2.6999999999999999E-5</v>
          </cell>
          <cell r="D52">
            <v>5.7773499999999998E-5</v>
          </cell>
          <cell r="E52">
            <v>0.84850400000000004</v>
          </cell>
          <cell r="F52">
            <v>1.1045859999999999E-5</v>
          </cell>
          <cell r="G52">
            <v>-2.7699999999999999E-5</v>
          </cell>
          <cell r="H52">
            <v>1.272836E-4</v>
          </cell>
          <cell r="I52">
            <v>0.85397699999999999</v>
          </cell>
          <cell r="J52">
            <v>7.4117020000000002E-6</v>
          </cell>
          <cell r="K52">
            <v>-2.5159999999999999E-4</v>
          </cell>
          <cell r="L52">
            <v>1.5776210000000001E-5</v>
          </cell>
          <cell r="M52">
            <v>0.85275400000000001</v>
          </cell>
          <cell r="N52">
            <v>8.0801540000000002E-6</v>
          </cell>
          <cell r="O52">
            <v>1.052E-4</v>
          </cell>
          <cell r="P52">
            <v>2.5582110000000001E-5</v>
          </cell>
          <cell r="Q52">
            <v>0.85504899999999995</v>
          </cell>
        </row>
        <row r="53">
          <cell r="B53">
            <v>8.9249960000000008E-6</v>
          </cell>
          <cell r="C53">
            <v>4.8999999999999997E-6</v>
          </cell>
          <cell r="D53">
            <v>8.1656459999999997E-5</v>
          </cell>
          <cell r="E53">
            <v>0.840943</v>
          </cell>
          <cell r="F53">
            <v>1.187949E-5</v>
          </cell>
          <cell r="G53">
            <v>-2.97E-5</v>
          </cell>
          <cell r="H53">
            <v>3.1780499999999998E-5</v>
          </cell>
          <cell r="I53">
            <v>0.84704100000000004</v>
          </cell>
          <cell r="J53">
            <v>1.062492E-5</v>
          </cell>
          <cell r="K53">
            <v>-2.63E-4</v>
          </cell>
          <cell r="L53">
            <v>6.8548439999999999E-5</v>
          </cell>
          <cell r="M53">
            <v>0.84580100000000003</v>
          </cell>
          <cell r="N53">
            <v>1.1266469999999999E-5</v>
          </cell>
          <cell r="O53">
            <v>1.144E-4</v>
          </cell>
          <cell r="P53">
            <v>5.796551E-5</v>
          </cell>
          <cell r="Q53">
            <v>0.84816599999999998</v>
          </cell>
        </row>
        <row r="54">
          <cell r="B54">
            <v>7.8747129999999999E-6</v>
          </cell>
          <cell r="C54">
            <v>3.0300000000000001E-5</v>
          </cell>
          <cell r="D54">
            <v>3.1287200000000001E-5</v>
          </cell>
          <cell r="E54">
            <v>0.82888300000000004</v>
          </cell>
          <cell r="F54">
            <v>9.3220169999999997E-6</v>
          </cell>
          <cell r="G54">
            <v>-3.1699999999999998E-5</v>
          </cell>
          <cell r="H54">
            <v>5.2873010000000001E-5</v>
          </cell>
          <cell r="I54">
            <v>0.83552800000000005</v>
          </cell>
          <cell r="J54">
            <v>1.1055420000000001E-5</v>
          </cell>
          <cell r="K54">
            <v>-2.4899999999999998E-4</v>
          </cell>
          <cell r="L54">
            <v>4.1432679999999999E-5</v>
          </cell>
          <cell r="M54">
            <v>0.83438500000000004</v>
          </cell>
          <cell r="N54">
            <v>6.9793350000000002E-6</v>
          </cell>
          <cell r="O54">
            <v>1.054E-4</v>
          </cell>
          <cell r="P54">
            <v>2.4517569999999998E-5</v>
          </cell>
          <cell r="Q54">
            <v>0.83663299999999996</v>
          </cell>
        </row>
        <row r="55">
          <cell r="B55">
            <v>7.6623180000000004E-6</v>
          </cell>
          <cell r="C55">
            <v>1.9400000000000001E-5</v>
          </cell>
          <cell r="D55">
            <v>8.3964280000000004E-5</v>
          </cell>
          <cell r="E55">
            <v>0.81299500000000002</v>
          </cell>
          <cell r="F55">
            <v>5.9104430000000003E-6</v>
          </cell>
          <cell r="G55">
            <v>-3.96E-5</v>
          </cell>
          <cell r="H55">
            <v>1.229273E-5</v>
          </cell>
          <cell r="I55">
            <v>0.81974199999999997</v>
          </cell>
          <cell r="J55">
            <v>7.4691960000000003E-6</v>
          </cell>
          <cell r="K55">
            <v>-2.5470000000000001E-4</v>
          </cell>
          <cell r="L55">
            <v>3.7947329999999997E-5</v>
          </cell>
          <cell r="M55">
            <v>0.81873799999999997</v>
          </cell>
          <cell r="N55">
            <v>1.02285E-5</v>
          </cell>
          <cell r="O55">
            <v>1.072E-4</v>
          </cell>
          <cell r="P55">
            <v>3.1198290000000002E-5</v>
          </cell>
          <cell r="Q55">
            <v>0.82073200000000002</v>
          </cell>
        </row>
        <row r="56">
          <cell r="B56">
            <v>9.3861600000000006E-6</v>
          </cell>
          <cell r="C56">
            <v>3.01E-5</v>
          </cell>
          <cell r="D56">
            <v>1.9321840000000001E-5</v>
          </cell>
          <cell r="E56">
            <v>0.79279200000000005</v>
          </cell>
          <cell r="F56">
            <v>5.9338949999999997E-6</v>
          </cell>
          <cell r="G56">
            <v>-2.7900000000000001E-5</v>
          </cell>
          <cell r="H56">
            <v>2.6749870000000001E-5</v>
          </cell>
          <cell r="I56">
            <v>0.80026399999999998</v>
          </cell>
          <cell r="J56">
            <v>7.8627110000000002E-6</v>
          </cell>
          <cell r="K56">
            <v>-2.5139999999999999E-4</v>
          </cell>
          <cell r="L56">
            <v>2.1628169999999999E-5</v>
          </cell>
          <cell r="M56">
            <v>0.79862699999999998</v>
          </cell>
          <cell r="N56">
            <v>1.205773E-5</v>
          </cell>
          <cell r="O56">
            <v>1.065E-4</v>
          </cell>
          <cell r="P56">
            <v>1.490712E-5</v>
          </cell>
          <cell r="Q56">
            <v>0.80083000000000004</v>
          </cell>
        </row>
        <row r="57">
          <cell r="B57">
            <v>1.0154910000000001E-5</v>
          </cell>
          <cell r="C57">
            <v>1.73E-5</v>
          </cell>
          <cell r="D57">
            <v>1.6633299999999999E-5</v>
          </cell>
          <cell r="E57">
            <v>0.76660099999999998</v>
          </cell>
          <cell r="F57">
            <v>6.0267920000000003E-6</v>
          </cell>
          <cell r="G57">
            <v>-1.7099999999999999E-5</v>
          </cell>
          <cell r="H57">
            <v>6.3245549999999998E-6</v>
          </cell>
          <cell r="I57">
            <v>0.77402199999999999</v>
          </cell>
          <cell r="J57">
            <v>9.6494100000000002E-6</v>
          </cell>
          <cell r="K57">
            <v>-2.4800000000000001E-4</v>
          </cell>
          <cell r="L57">
            <v>8.2327259999999994E-6</v>
          </cell>
          <cell r="M57">
            <v>0.77249699999999999</v>
          </cell>
          <cell r="N57">
            <v>1.0585629999999999E-5</v>
          </cell>
          <cell r="O57">
            <v>1.145E-4</v>
          </cell>
          <cell r="P57">
            <v>6.2751720000000006E-5</v>
          </cell>
          <cell r="Q57">
            <v>0.774756</v>
          </cell>
        </row>
        <row r="58">
          <cell r="B58">
            <v>1.3216569999999999E-5</v>
          </cell>
          <cell r="C58">
            <v>1.5299999999999999E-5</v>
          </cell>
          <cell r="D58">
            <v>9.4280899999999997E-6</v>
          </cell>
          <cell r="E58">
            <v>0.74487999999999999</v>
          </cell>
          <cell r="F58">
            <v>6.7896979999999999E-6</v>
          </cell>
          <cell r="G58">
            <v>-1.6099999999999998E-5</v>
          </cell>
          <cell r="H58">
            <v>5.9451189999999997E-5</v>
          </cell>
          <cell r="I58">
            <v>0.75275300000000001</v>
          </cell>
          <cell r="J58">
            <v>1.156095E-5</v>
          </cell>
          <cell r="K58">
            <v>-2.4889999999999998E-4</v>
          </cell>
          <cell r="L58">
            <v>1.1005050000000001E-5</v>
          </cell>
          <cell r="M58">
            <v>0.75125900000000001</v>
          </cell>
          <cell r="N58">
            <v>1.028267E-5</v>
          </cell>
          <cell r="O58">
            <v>1.088E-4</v>
          </cell>
          <cell r="P58">
            <v>4.8027769999999999E-5</v>
          </cell>
          <cell r="Q58">
            <v>0.75353800000000004</v>
          </cell>
        </row>
        <row r="59">
          <cell r="B59">
            <v>1.1343620000000001E-5</v>
          </cell>
          <cell r="C59">
            <v>1.5299999999999999E-5</v>
          </cell>
          <cell r="D59">
            <v>2.6687490000000001E-5</v>
          </cell>
          <cell r="E59">
            <v>0.71960299999999999</v>
          </cell>
          <cell r="F59">
            <v>1.083667E-5</v>
          </cell>
          <cell r="G59">
            <v>-2.41E-5</v>
          </cell>
          <cell r="H59">
            <v>4.8989790000000002E-5</v>
          </cell>
          <cell r="I59">
            <v>0.72721999999999998</v>
          </cell>
          <cell r="J59">
            <v>8.7660959999999997E-6</v>
          </cell>
          <cell r="K59">
            <v>-2.4479999999999999E-4</v>
          </cell>
          <cell r="L59">
            <v>1.7126979999999999E-5</v>
          </cell>
          <cell r="M59">
            <v>0.72585599999999995</v>
          </cell>
          <cell r="N59">
            <v>1.334166E-5</v>
          </cell>
          <cell r="O59">
            <v>1.17E-4</v>
          </cell>
          <cell r="P59">
            <v>4.8579830000000001E-5</v>
          </cell>
          <cell r="Q59">
            <v>0.72787400000000002</v>
          </cell>
        </row>
        <row r="60">
          <cell r="B60">
            <v>9.0308110000000001E-6</v>
          </cell>
          <cell r="C60">
            <v>2.9E-5</v>
          </cell>
          <cell r="D60">
            <v>2.4404009999999999E-5</v>
          </cell>
          <cell r="E60">
            <v>0.69496199999999997</v>
          </cell>
          <cell r="F60">
            <v>5.5986110000000002E-6</v>
          </cell>
          <cell r="G60">
            <v>-3.1699999999999998E-5</v>
          </cell>
          <cell r="H60">
            <v>1.490712E-5</v>
          </cell>
          <cell r="I60">
            <v>0.70254000000000005</v>
          </cell>
          <cell r="J60">
            <v>1.264735E-5</v>
          </cell>
          <cell r="K60">
            <v>-2.4479999999999999E-4</v>
          </cell>
          <cell r="L60">
            <v>2.4152289999999998E-5</v>
          </cell>
          <cell r="M60">
            <v>0.70117499999999999</v>
          </cell>
          <cell r="N60">
            <v>9.2855919999999994E-6</v>
          </cell>
          <cell r="O60">
            <v>1.03E-4</v>
          </cell>
          <cell r="P60">
            <v>1.159502E-5</v>
          </cell>
          <cell r="Q60">
            <v>0.70303300000000002</v>
          </cell>
        </row>
        <row r="61">
          <cell r="B61">
            <v>1.08341E-5</v>
          </cell>
          <cell r="C61">
            <v>2.0599999999999999E-5</v>
          </cell>
          <cell r="D61">
            <v>2.3664320000000001E-5</v>
          </cell>
          <cell r="E61">
            <v>0.673566</v>
          </cell>
          <cell r="F61">
            <v>6.7896979999999999E-6</v>
          </cell>
          <cell r="G61">
            <v>-2.5899999999999999E-5</v>
          </cell>
          <cell r="H61">
            <v>3.1287200000000001E-5</v>
          </cell>
          <cell r="I61">
            <v>0.68113699999999999</v>
          </cell>
          <cell r="J61">
            <v>1.0976740000000001E-5</v>
          </cell>
          <cell r="K61">
            <v>-2.4560000000000001E-4</v>
          </cell>
          <cell r="L61">
            <v>2.898275E-5</v>
          </cell>
          <cell r="M61">
            <v>0.67972200000000005</v>
          </cell>
          <cell r="N61">
            <v>1.0946329999999999E-5</v>
          </cell>
          <cell r="O61">
            <v>1.004E-4</v>
          </cell>
          <cell r="P61">
            <v>1.6363919999999999E-5</v>
          </cell>
          <cell r="Q61">
            <v>0.68169299999999999</v>
          </cell>
        </row>
        <row r="62">
          <cell r="B62">
            <v>8.5893990000000001E-6</v>
          </cell>
          <cell r="C62">
            <v>1.8E-5</v>
          </cell>
          <cell r="D62">
            <v>6.6072349999999998E-5</v>
          </cell>
          <cell r="E62">
            <v>0.65805899999999995</v>
          </cell>
          <cell r="F62">
            <v>1.1367110000000001E-5</v>
          </cell>
          <cell r="G62">
            <v>-3.6900000000000002E-5</v>
          </cell>
          <cell r="H62">
            <v>2.6012820000000001E-5</v>
          </cell>
          <cell r="I62">
            <v>0.66561899999999996</v>
          </cell>
          <cell r="J62">
            <v>1.1013119999999999E-5</v>
          </cell>
          <cell r="K62">
            <v>-2.5520000000000002E-4</v>
          </cell>
          <cell r="L62">
            <v>2.9888679999999999E-5</v>
          </cell>
          <cell r="M62">
            <v>0.66398599999999997</v>
          </cell>
          <cell r="N62">
            <v>6.9570109999999997E-6</v>
          </cell>
          <cell r="O62">
            <v>1.3119999999999999E-4</v>
          </cell>
          <cell r="P62">
            <v>2.973961E-5</v>
          </cell>
          <cell r="Q62">
            <v>0.66580799999999996</v>
          </cell>
        </row>
        <row r="63">
          <cell r="B63">
            <v>1.0119290000000001E-5</v>
          </cell>
          <cell r="C63">
            <v>3.5800000000000003E-5</v>
          </cell>
          <cell r="D63">
            <v>3.1989580000000001E-5</v>
          </cell>
          <cell r="E63">
            <v>0.65079299999999995</v>
          </cell>
          <cell r="F63">
            <v>6.9290050000000004E-6</v>
          </cell>
          <cell r="G63">
            <v>-3.7700000000000002E-5</v>
          </cell>
          <cell r="H63">
            <v>1.6865479999999998E-5</v>
          </cell>
          <cell r="I63">
            <v>0.65827800000000003</v>
          </cell>
          <cell r="J63">
            <v>1.016585E-5</v>
          </cell>
          <cell r="K63">
            <v>-2.6370000000000001E-4</v>
          </cell>
          <cell r="L63">
            <v>5.4201269999999997E-5</v>
          </cell>
          <cell r="M63">
            <v>0.656914</v>
          </cell>
          <cell r="N63">
            <v>9.7752519999999998E-6</v>
          </cell>
          <cell r="O63">
            <v>1.0900000000000001E-4</v>
          </cell>
          <cell r="P63">
            <v>1.509231E-5</v>
          </cell>
          <cell r="Q63">
            <v>0.65895499999999996</v>
          </cell>
        </row>
        <row r="64">
          <cell r="B64">
            <v>9.0676469999999996E-6</v>
          </cell>
          <cell r="C64">
            <v>2.5000000000000001E-5</v>
          </cell>
          <cell r="D64">
            <v>2.4494900000000002E-5</v>
          </cell>
          <cell r="E64">
            <v>0.65549999999999997</v>
          </cell>
          <cell r="F64">
            <v>6.7338279999999997E-6</v>
          </cell>
          <cell r="G64">
            <v>-2.4300000000000001E-5</v>
          </cell>
          <cell r="H64">
            <v>2.0439610000000001E-5</v>
          </cell>
          <cell r="I64">
            <v>0.66350799999999999</v>
          </cell>
          <cell r="J64">
            <v>9.1706050000000003E-6</v>
          </cell>
          <cell r="K64">
            <v>-2.5310000000000003E-4</v>
          </cell>
          <cell r="L64">
            <v>1.229273E-5</v>
          </cell>
          <cell r="M64">
            <v>0.66203199999999995</v>
          </cell>
          <cell r="N64">
            <v>1.3736E-5</v>
          </cell>
          <cell r="O64">
            <v>1.1129999999999999E-4</v>
          </cell>
          <cell r="P64">
            <v>2.3118050000000001E-5</v>
          </cell>
          <cell r="Q64">
            <v>0.66391299999999998</v>
          </cell>
        </row>
        <row r="65">
          <cell r="B65">
            <v>4.1150130000000001E-6</v>
          </cell>
          <cell r="C65">
            <v>3.6600000000000002E-5</v>
          </cell>
          <cell r="D65">
            <v>1.873796E-5</v>
          </cell>
          <cell r="E65">
            <v>0.67439199999999999</v>
          </cell>
          <cell r="F65">
            <v>7.7172249999999996E-6</v>
          </cell>
          <cell r="G65">
            <v>-2.6999999999999999E-5</v>
          </cell>
          <cell r="H65">
            <v>2.951459E-5</v>
          </cell>
          <cell r="I65">
            <v>0.68263399999999996</v>
          </cell>
          <cell r="J65">
            <v>7.9923570000000006E-6</v>
          </cell>
          <cell r="K65">
            <v>-2.4810000000000001E-4</v>
          </cell>
          <cell r="L65">
            <v>3.6757459999999999E-5</v>
          </cell>
          <cell r="M65">
            <v>0.68132199999999998</v>
          </cell>
          <cell r="N65">
            <v>1.199259E-5</v>
          </cell>
          <cell r="O65">
            <v>1.236E-4</v>
          </cell>
          <cell r="P65">
            <v>1.509231E-5</v>
          </cell>
          <cell r="Q65">
            <v>0.683145</v>
          </cell>
        </row>
        <row r="66">
          <cell r="B66">
            <v>1.380378E-5</v>
          </cell>
          <cell r="C66">
            <v>4.5899999999999998E-5</v>
          </cell>
          <cell r="D66">
            <v>2.0110800000000001E-5</v>
          </cell>
          <cell r="E66">
            <v>0.70830599999999999</v>
          </cell>
          <cell r="F66">
            <v>9.5922419999999993E-6</v>
          </cell>
          <cell r="G66">
            <v>-3.2299999999999999E-5</v>
          </cell>
          <cell r="H66">
            <v>5.4974739999999997E-5</v>
          </cell>
          <cell r="I66">
            <v>0.71723000000000003</v>
          </cell>
          <cell r="J66">
            <v>8.6313380000000005E-6</v>
          </cell>
          <cell r="K66">
            <v>-2.475E-4</v>
          </cell>
          <cell r="L66">
            <v>2.359378E-5</v>
          </cell>
          <cell r="M66">
            <v>0.71558299999999997</v>
          </cell>
          <cell r="N66">
            <v>1.3381579999999999E-5</v>
          </cell>
          <cell r="O66">
            <v>1.2320000000000001E-4</v>
          </cell>
          <cell r="P66">
            <v>3.064129E-5</v>
          </cell>
          <cell r="Q66">
            <v>0.71747499999999997</v>
          </cell>
        </row>
        <row r="67">
          <cell r="B67">
            <v>1.105994E-5</v>
          </cell>
          <cell r="C67">
            <v>2.7900000000000001E-5</v>
          </cell>
          <cell r="D67">
            <v>2.7668669999999999E-5</v>
          </cell>
          <cell r="E67">
            <v>0.75719099999999995</v>
          </cell>
          <cell r="F67">
            <v>1.026537E-5</v>
          </cell>
          <cell r="G67">
            <v>-3.04E-5</v>
          </cell>
          <cell r="H67">
            <v>6.9610019999999994E-5</v>
          </cell>
          <cell r="I67">
            <v>0.76685700000000001</v>
          </cell>
          <cell r="J67">
            <v>1.1776150000000001E-5</v>
          </cell>
          <cell r="K67">
            <v>-2.4269999999999999E-4</v>
          </cell>
          <cell r="L67">
            <v>2.7808869999999999E-5</v>
          </cell>
          <cell r="M67">
            <v>0.76517199999999996</v>
          </cell>
          <cell r="N67">
            <v>7.3605559999999999E-6</v>
          </cell>
          <cell r="O67">
            <v>1.2420000000000001E-4</v>
          </cell>
          <cell r="P67">
            <v>3.308239E-5</v>
          </cell>
          <cell r="Q67">
            <v>0.76728499999999999</v>
          </cell>
        </row>
        <row r="68">
          <cell r="B68">
            <v>1.025508E-5</v>
          </cell>
          <cell r="C68">
            <v>3.9499999999999998E-5</v>
          </cell>
          <cell r="D68">
            <v>7.0118949999999994E-5</v>
          </cell>
          <cell r="E68">
            <v>0.81952499999999995</v>
          </cell>
          <cell r="F68">
            <v>4.3256340000000002E-6</v>
          </cell>
          <cell r="G68">
            <v>-2.4600000000000002E-5</v>
          </cell>
          <cell r="H68">
            <v>6.4022570000000004E-5</v>
          </cell>
          <cell r="I68">
            <v>0.83002100000000001</v>
          </cell>
          <cell r="J68">
            <v>8.9448930000000006E-6</v>
          </cell>
          <cell r="K68">
            <v>-2.5769999999999998E-4</v>
          </cell>
          <cell r="L68">
            <v>1.418136E-5</v>
          </cell>
          <cell r="M68">
            <v>0.82788300000000004</v>
          </cell>
          <cell r="N68">
            <v>1.1203169999999999E-5</v>
          </cell>
          <cell r="O68">
            <v>1.348E-4</v>
          </cell>
          <cell r="P68">
            <v>4.3217789999999997E-5</v>
          </cell>
          <cell r="Q68">
            <v>0.830013</v>
          </cell>
        </row>
        <row r="69">
          <cell r="B69">
            <v>1.1354880000000001E-5</v>
          </cell>
          <cell r="C69">
            <v>2.5400000000000001E-5</v>
          </cell>
          <cell r="D69">
            <v>3.4058769999999998E-5</v>
          </cell>
          <cell r="E69">
            <v>0.89231400000000005</v>
          </cell>
          <cell r="F69">
            <v>5.7164479999999997E-6</v>
          </cell>
          <cell r="G69">
            <v>-2.87E-5</v>
          </cell>
          <cell r="H69">
            <v>2.973961E-5</v>
          </cell>
          <cell r="I69">
            <v>0.90420199999999995</v>
          </cell>
          <cell r="J69">
            <v>1.1053410000000001E-5</v>
          </cell>
          <cell r="K69">
            <v>-2.3680000000000001E-4</v>
          </cell>
          <cell r="L69">
            <v>1.418136E-5</v>
          </cell>
          <cell r="M69">
            <v>0.90196699999999996</v>
          </cell>
          <cell r="N69">
            <v>1.0556200000000001E-5</v>
          </cell>
          <cell r="O69">
            <v>1.131E-4</v>
          </cell>
          <cell r="P69">
            <v>5.557777E-5</v>
          </cell>
          <cell r="Q69">
            <v>0.90464</v>
          </cell>
        </row>
        <row r="70">
          <cell r="B70">
            <v>9.8370049999999995E-6</v>
          </cell>
          <cell r="C70">
            <v>2.8099999999999999E-5</v>
          </cell>
          <cell r="D70">
            <v>1.449138E-5</v>
          </cell>
          <cell r="E70">
            <v>0.97365100000000004</v>
          </cell>
          <cell r="F70">
            <v>6.5828059999999996E-6</v>
          </cell>
          <cell r="G70">
            <v>-1.8E-5</v>
          </cell>
          <cell r="H70">
            <v>2.1081849999999999E-5</v>
          </cell>
          <cell r="I70">
            <v>0.98643000000000003</v>
          </cell>
          <cell r="J70">
            <v>7.5579239999999999E-6</v>
          </cell>
          <cell r="K70">
            <v>-2.4869999999999997E-4</v>
          </cell>
          <cell r="L70">
            <v>5.9301490000000001E-5</v>
          </cell>
          <cell r="M70">
            <v>0.98433499999999996</v>
          </cell>
          <cell r="N70">
            <v>1.0687479999999999E-5</v>
          </cell>
          <cell r="O70">
            <v>1.1E-4</v>
          </cell>
          <cell r="P70">
            <v>5.2662450000000003E-5</v>
          </cell>
          <cell r="Q70">
            <v>0.98693799999999998</v>
          </cell>
        </row>
        <row r="71">
          <cell r="B71">
            <v>1.0561990000000001E-5</v>
          </cell>
          <cell r="C71">
            <v>4.1999999999999998E-5</v>
          </cell>
          <cell r="D71">
            <v>4.1699990000000003E-5</v>
          </cell>
          <cell r="E71">
            <v>1.057755</v>
          </cell>
          <cell r="F71">
            <v>7.2449220000000001E-6</v>
          </cell>
          <cell r="G71">
            <v>-2.3600000000000001E-5</v>
          </cell>
          <cell r="H71">
            <v>1.3163920000000001E-4</v>
          </cell>
          <cell r="I71">
            <v>1.0719179999999999</v>
          </cell>
          <cell r="J71">
            <v>5.3707019999999997E-6</v>
          </cell>
          <cell r="K71">
            <v>-2.418E-4</v>
          </cell>
          <cell r="L71">
            <v>7.3665910000000003E-5</v>
          </cell>
          <cell r="M71">
            <v>1.0694760000000001</v>
          </cell>
          <cell r="N71">
            <v>1.2209289999999999E-5</v>
          </cell>
          <cell r="O71">
            <v>1.2980000000000001E-4</v>
          </cell>
          <cell r="P71">
            <v>8.9075500000000005E-5</v>
          </cell>
          <cell r="Q71">
            <v>1.0721069999999999</v>
          </cell>
        </row>
        <row r="72">
          <cell r="B72">
            <v>1.2064640000000001E-5</v>
          </cell>
          <cell r="C72">
            <v>1.8E-5</v>
          </cell>
          <cell r="D72">
            <v>5.940445E-5</v>
          </cell>
          <cell r="E72">
            <v>1.145648</v>
          </cell>
          <cell r="F72">
            <v>1.161847E-5</v>
          </cell>
          <cell r="G72">
            <v>-7.9000000000000006E-6</v>
          </cell>
          <cell r="H72">
            <v>2.057507E-5</v>
          </cell>
          <cell r="I72">
            <v>1.160463</v>
          </cell>
          <cell r="J72">
            <v>5.2925520000000003E-6</v>
          </cell>
          <cell r="K72">
            <v>-2.5169999999999999E-4</v>
          </cell>
          <cell r="L72">
            <v>3.8930139999999998E-5</v>
          </cell>
          <cell r="M72">
            <v>1.1576740000000001</v>
          </cell>
          <cell r="N72">
            <v>8.2300260000000003E-6</v>
          </cell>
          <cell r="O72">
            <v>1.238E-4</v>
          </cell>
          <cell r="P72">
            <v>4.0606509999999999E-5</v>
          </cell>
          <cell r="Q72">
            <v>1.160766</v>
          </cell>
        </row>
        <row r="73">
          <cell r="B73">
            <v>1.395588E-5</v>
          </cell>
          <cell r="C73">
            <v>3.4900000000000001E-5</v>
          </cell>
          <cell r="D73">
            <v>1.182089E-4</v>
          </cell>
          <cell r="E73">
            <v>1.231722</v>
          </cell>
          <cell r="F73">
            <v>9.7045240000000007E-6</v>
          </cell>
          <cell r="G73">
            <v>-1.8199999999999999E-5</v>
          </cell>
          <cell r="H73">
            <v>4.056545E-5</v>
          </cell>
          <cell r="I73">
            <v>1.247663</v>
          </cell>
          <cell r="J73">
            <v>7.8202020000000006E-6</v>
          </cell>
          <cell r="K73">
            <v>-2.4140000000000001E-4</v>
          </cell>
          <cell r="L73">
            <v>2.7588240000000001E-5</v>
          </cell>
          <cell r="M73">
            <v>1.2441150000000001</v>
          </cell>
          <cell r="N73">
            <v>8.1894240000000006E-6</v>
          </cell>
          <cell r="O73">
            <v>1.0620000000000001E-4</v>
          </cell>
          <cell r="P73">
            <v>9.3832000000000006E-5</v>
          </cell>
          <cell r="Q73">
            <v>1.247606</v>
          </cell>
        </row>
        <row r="74">
          <cell r="B74">
            <v>1.072329E-5</v>
          </cell>
          <cell r="C74">
            <v>2.2900000000000001E-5</v>
          </cell>
          <cell r="D74">
            <v>5.2704629999999999E-5</v>
          </cell>
          <cell r="E74">
            <v>1.3078700000000001</v>
          </cell>
          <cell r="F74">
            <v>8.9622670000000003E-6</v>
          </cell>
          <cell r="G74">
            <v>-1.31E-5</v>
          </cell>
          <cell r="H74">
            <v>7.4951839999999999E-5</v>
          </cell>
          <cell r="I74">
            <v>1.323178</v>
          </cell>
          <cell r="J74">
            <v>1.1264990000000001E-5</v>
          </cell>
          <cell r="K74">
            <v>-2.477E-4</v>
          </cell>
          <cell r="L74">
            <v>7.9309520000000005E-5</v>
          </cell>
          <cell r="M74">
            <v>1.320033</v>
          </cell>
          <cell r="N74">
            <v>1.1247219999999999E-5</v>
          </cell>
          <cell r="O74">
            <v>1.2449999999999999E-4</v>
          </cell>
          <cell r="P74">
            <v>1.5319199999999999E-4</v>
          </cell>
          <cell r="Q74">
            <v>1.323413</v>
          </cell>
        </row>
        <row r="75">
          <cell r="B75">
            <v>1.05914E-5</v>
          </cell>
          <cell r="C75">
            <v>2.4199999999999999E-5</v>
          </cell>
          <cell r="D75">
            <v>3.9721249999999999E-5</v>
          </cell>
          <cell r="E75">
            <v>1.38171</v>
          </cell>
          <cell r="F75">
            <v>9.8972500000000008E-6</v>
          </cell>
          <cell r="G75">
            <v>-1.9199999999999999E-5</v>
          </cell>
          <cell r="H75">
            <v>1.0439770000000001E-4</v>
          </cell>
          <cell r="I75">
            <v>1.3954690000000001</v>
          </cell>
          <cell r="J75">
            <v>9.0707100000000001E-6</v>
          </cell>
          <cell r="K75">
            <v>-2.4250000000000001E-4</v>
          </cell>
          <cell r="L75">
            <v>4.5080180000000001E-5</v>
          </cell>
          <cell r="M75">
            <v>1.3920410000000001</v>
          </cell>
          <cell r="N75">
            <v>9.1341850000000004E-6</v>
          </cell>
          <cell r="O75">
            <v>1.249E-4</v>
          </cell>
          <cell r="P75">
            <v>5.557777E-5</v>
          </cell>
          <cell r="Q75">
            <v>1.39618</v>
          </cell>
        </row>
        <row r="76">
          <cell r="B76">
            <v>8.6339119999999999E-6</v>
          </cell>
          <cell r="C76">
            <v>3.29E-5</v>
          </cell>
          <cell r="D76">
            <v>2.4060110000000001E-5</v>
          </cell>
          <cell r="E76">
            <v>1.442453</v>
          </cell>
          <cell r="F76">
            <v>6.7131710000000002E-6</v>
          </cell>
          <cell r="G76">
            <v>-1.8199999999999999E-5</v>
          </cell>
          <cell r="H76">
            <v>1.4017850000000001E-4</v>
          </cell>
          <cell r="I76">
            <v>1.4518150000000001</v>
          </cell>
          <cell r="J76">
            <v>6.9193769999999998E-6</v>
          </cell>
          <cell r="K76">
            <v>-2.4909999999999998E-4</v>
          </cell>
          <cell r="L76">
            <v>1.8856179999999999E-5</v>
          </cell>
          <cell r="M76">
            <v>1.44787</v>
          </cell>
          <cell r="N76">
            <v>9.1796880000000001E-6</v>
          </cell>
          <cell r="O76">
            <v>1.0840000000000001E-4</v>
          </cell>
          <cell r="P76">
            <v>3.4785050000000003E-5</v>
          </cell>
          <cell r="Q76">
            <v>1.452199</v>
          </cell>
        </row>
        <row r="77">
          <cell r="B77">
            <v>6.9960310000000002E-6</v>
          </cell>
          <cell r="C77">
            <v>4.85E-5</v>
          </cell>
          <cell r="D77">
            <v>6.3104850000000003E-5</v>
          </cell>
          <cell r="E77">
            <v>1.5071540000000001</v>
          </cell>
          <cell r="F77">
            <v>7.8180700000000002E-6</v>
          </cell>
          <cell r="G77">
            <v>-1.47E-5</v>
          </cell>
          <cell r="H77">
            <v>6.3499779999999997E-5</v>
          </cell>
          <cell r="I77">
            <v>1.5079910000000001</v>
          </cell>
          <cell r="J77">
            <v>6.2857860000000001E-6</v>
          </cell>
          <cell r="K77">
            <v>-2.418E-4</v>
          </cell>
          <cell r="L77">
            <v>6.7568889999999995E-5</v>
          </cell>
          <cell r="M77">
            <v>1.5045090000000001</v>
          </cell>
          <cell r="N77">
            <v>1.9850549999999999E-5</v>
          </cell>
          <cell r="O77">
            <v>1.316E-4</v>
          </cell>
          <cell r="P77">
            <v>6.3104850000000003E-5</v>
          </cell>
          <cell r="Q77">
            <v>1.508586</v>
          </cell>
        </row>
        <row r="78">
          <cell r="B78">
            <v>1.0145610000000001E-5</v>
          </cell>
          <cell r="C78">
            <v>3.9400000000000002E-5</v>
          </cell>
          <cell r="D78">
            <v>1.6633299999999999E-5</v>
          </cell>
          <cell r="E78">
            <v>1.5549310000000001</v>
          </cell>
          <cell r="F78">
            <v>9.5568469999999999E-6</v>
          </cell>
          <cell r="G78">
            <v>-1.9000000000000001E-5</v>
          </cell>
          <cell r="H78">
            <v>5.3135050000000002E-5</v>
          </cell>
          <cell r="I78">
            <v>1.541013</v>
          </cell>
          <cell r="J78">
            <v>7.2295690000000004E-6</v>
          </cell>
          <cell r="K78">
            <v>-2.4459999999999998E-4</v>
          </cell>
          <cell r="L78">
            <v>5.0782760000000002E-5</v>
          </cell>
          <cell r="M78">
            <v>1.537563</v>
          </cell>
          <cell r="N78">
            <v>9.65459E-6</v>
          </cell>
          <cell r="O78">
            <v>1.211E-4</v>
          </cell>
          <cell r="P78">
            <v>3.3015149999999998E-5</v>
          </cell>
          <cell r="Q78">
            <v>1.5413829999999999</v>
          </cell>
        </row>
        <row r="79">
          <cell r="B79">
            <v>1.475315E-5</v>
          </cell>
          <cell r="C79">
            <v>3.6900000000000002E-5</v>
          </cell>
          <cell r="D79">
            <v>6.2751720000000006E-5</v>
          </cell>
          <cell r="E79">
            <v>1.581636</v>
          </cell>
          <cell r="F79">
            <v>6.0369230000000002E-6</v>
          </cell>
          <cell r="G79">
            <v>-1.7E-5</v>
          </cell>
          <cell r="H79">
            <v>4.0013889999999999E-5</v>
          </cell>
          <cell r="I79">
            <v>1.5452669999999999</v>
          </cell>
          <cell r="J79">
            <v>6.261878E-6</v>
          </cell>
          <cell r="K79">
            <v>-2.4110000000000001E-4</v>
          </cell>
          <cell r="L79">
            <v>9.6609180000000002E-6</v>
          </cell>
          <cell r="M79">
            <v>1.541536</v>
          </cell>
          <cell r="N79">
            <v>9.9693979999999993E-6</v>
          </cell>
          <cell r="O79">
            <v>1.175E-4</v>
          </cell>
          <cell r="P79">
            <v>4.3576240000000001E-5</v>
          </cell>
          <cell r="Q79">
            <v>1.546251</v>
          </cell>
        </row>
        <row r="80">
          <cell r="B80">
            <v>8.7743309999999998E-6</v>
          </cell>
          <cell r="C80">
            <v>2.9099999999999999E-5</v>
          </cell>
          <cell r="D80">
            <v>1.0482259999999999E-4</v>
          </cell>
          <cell r="E80">
            <v>1.5881110000000001</v>
          </cell>
          <cell r="F80">
            <v>8.1928149999999999E-6</v>
          </cell>
          <cell r="G80">
            <v>-1.3699999999999999E-5</v>
          </cell>
          <cell r="H80">
            <v>4.0013889999999999E-5</v>
          </cell>
          <cell r="I80">
            <v>1.5215270000000001</v>
          </cell>
          <cell r="J80">
            <v>6.0147969999999997E-6</v>
          </cell>
          <cell r="K80">
            <v>-2.4620000000000002E-4</v>
          </cell>
          <cell r="L80">
            <v>1.1197220000000001E-4</v>
          </cell>
          <cell r="M80">
            <v>1.5182739999999999</v>
          </cell>
          <cell r="N80">
            <v>1.312335E-5</v>
          </cell>
          <cell r="O80">
            <v>1.17E-4</v>
          </cell>
          <cell r="P80">
            <v>3.7416570000000001E-5</v>
          </cell>
          <cell r="Q80">
            <v>1.5224200000000001</v>
          </cell>
        </row>
        <row r="81">
          <cell r="B81">
            <v>6.8645629999999999E-6</v>
          </cell>
          <cell r="C81">
            <v>5.13E-5</v>
          </cell>
          <cell r="D81">
            <v>5.6607809999999998E-5</v>
          </cell>
          <cell r="E81">
            <v>1.5685359999999999</v>
          </cell>
          <cell r="F81">
            <v>7.5901980000000001E-6</v>
          </cell>
          <cell r="G81">
            <v>-2.2500000000000001E-5</v>
          </cell>
          <cell r="H81">
            <v>2.321398E-5</v>
          </cell>
          <cell r="I81">
            <v>1.4630050000000001</v>
          </cell>
          <cell r="J81">
            <v>1.013739E-5</v>
          </cell>
          <cell r="K81">
            <v>-2.4689999999999998E-4</v>
          </cell>
          <cell r="L81">
            <v>1.6865479999999998E-5</v>
          </cell>
          <cell r="M81">
            <v>1.4602980000000001</v>
          </cell>
          <cell r="N81">
            <v>8.7692650000000001E-6</v>
          </cell>
          <cell r="O81">
            <v>1.2970000000000001E-4</v>
          </cell>
          <cell r="P81">
            <v>8.6126520000000004E-5</v>
          </cell>
          <cell r="Q81">
            <v>1.464448</v>
          </cell>
        </row>
        <row r="82">
          <cell r="B82">
            <v>8.1792419999999994E-6</v>
          </cell>
          <cell r="C82">
            <v>4.3300000000000002E-5</v>
          </cell>
          <cell r="D82">
            <v>9.7233969999999996E-5</v>
          </cell>
          <cell r="E82">
            <v>1.5198389999999999</v>
          </cell>
          <cell r="F82">
            <v>8.6980200000000001E-6</v>
          </cell>
          <cell r="G82">
            <v>-2.3099999999999999E-5</v>
          </cell>
          <cell r="H82">
            <v>2.1317700000000001E-5</v>
          </cell>
          <cell r="I82">
            <v>1.367829</v>
          </cell>
          <cell r="J82">
            <v>9.8007939999999997E-6</v>
          </cell>
          <cell r="K82">
            <v>-2.4250000000000001E-4</v>
          </cell>
          <cell r="L82">
            <v>4.8808009999999998E-5</v>
          </cell>
          <cell r="M82">
            <v>1.3657459999999999</v>
          </cell>
          <cell r="N82">
            <v>9.8860169999999997E-6</v>
          </cell>
          <cell r="O82">
            <v>1.3119999999999999E-4</v>
          </cell>
          <cell r="P82">
            <v>2.9832870000000002E-5</v>
          </cell>
          <cell r="Q82">
            <v>1.369713</v>
          </cell>
        </row>
        <row r="83">
          <cell r="B83">
            <v>9.7775249999999992E-6</v>
          </cell>
          <cell r="C83">
            <v>4.0599999999999998E-5</v>
          </cell>
          <cell r="D83">
            <v>5.1164220000000002E-5</v>
          </cell>
          <cell r="E83">
            <v>1.4370579999999999</v>
          </cell>
          <cell r="F83">
            <v>8.2468849999999996E-6</v>
          </cell>
          <cell r="G83">
            <v>-7.3000000000000004E-6</v>
          </cell>
          <cell r="H83">
            <v>2.9888679999999999E-5</v>
          </cell>
          <cell r="I83">
            <v>1.235816</v>
          </cell>
          <cell r="J83">
            <v>9.5358969999999997E-6</v>
          </cell>
          <cell r="K83">
            <v>-2.5139999999999999E-4</v>
          </cell>
          <cell r="L83">
            <v>1.197219E-5</v>
          </cell>
          <cell r="M83">
            <v>1.2340310000000001</v>
          </cell>
          <cell r="N83">
            <v>1.2682449999999999E-5</v>
          </cell>
          <cell r="O83">
            <v>1.2120000000000001E-4</v>
          </cell>
          <cell r="P83">
            <v>2.0867039999999999E-4</v>
          </cell>
          <cell r="Q83">
            <v>1.2386090000000001</v>
          </cell>
        </row>
        <row r="84">
          <cell r="B84">
            <v>9.0117209999999996E-6</v>
          </cell>
          <cell r="C84">
            <v>3.0899999999999999E-5</v>
          </cell>
          <cell r="D84">
            <v>1.110005E-4</v>
          </cell>
          <cell r="E84">
            <v>1.320921</v>
          </cell>
          <cell r="F84">
            <v>9.8910730000000004E-6</v>
          </cell>
          <cell r="G84">
            <v>-1.45E-5</v>
          </cell>
          <cell r="H84">
            <v>2.2110830000000001E-5</v>
          </cell>
          <cell r="I84">
            <v>1.0723199999999999</v>
          </cell>
          <cell r="J84">
            <v>6.1544919999999999E-6</v>
          </cell>
          <cell r="K84">
            <v>-2.5310000000000003E-4</v>
          </cell>
          <cell r="L84">
            <v>9.4868330000000007E-6</v>
          </cell>
          <cell r="M84">
            <v>1.0705070000000001</v>
          </cell>
          <cell r="N84">
            <v>8.0663909999999999E-6</v>
          </cell>
          <cell r="O84">
            <v>1.2180000000000001E-4</v>
          </cell>
          <cell r="P84">
            <v>3.0568680000000003E-5</v>
          </cell>
          <cell r="Q84">
            <v>1.074587</v>
          </cell>
        </row>
        <row r="85">
          <cell r="B85">
            <v>6.4022570000000004E-6</v>
          </cell>
          <cell r="C85">
            <v>4.71E-5</v>
          </cell>
          <cell r="D85">
            <v>5.1650539999999999E-5</v>
          </cell>
          <cell r="E85">
            <v>1.173953</v>
          </cell>
          <cell r="F85">
            <v>1.0648419999999999E-5</v>
          </cell>
          <cell r="G85">
            <v>-9.5000000000000005E-6</v>
          </cell>
          <cell r="H85">
            <v>3.047768E-5</v>
          </cell>
          <cell r="I85">
            <v>0.88798200000000005</v>
          </cell>
          <cell r="J85">
            <v>8.5771010000000007E-6</v>
          </cell>
          <cell r="K85">
            <v>-2.453E-4</v>
          </cell>
          <cell r="L85">
            <v>4.7795859999999998E-5</v>
          </cell>
          <cell r="M85">
            <v>0.886938</v>
          </cell>
          <cell r="N85">
            <v>9.5388099999999999E-6</v>
          </cell>
          <cell r="O85">
            <v>1.2410000000000001E-4</v>
          </cell>
          <cell r="P85">
            <v>2.347576E-5</v>
          </cell>
          <cell r="Q85">
            <v>0.891092</v>
          </cell>
        </row>
        <row r="86">
          <cell r="B86">
            <v>9.2472220000000003E-6</v>
          </cell>
          <cell r="C86">
            <v>3.3200000000000001E-5</v>
          </cell>
          <cell r="D86">
            <v>4.0838440000000001E-5</v>
          </cell>
          <cell r="E86">
            <v>1.008437</v>
          </cell>
          <cell r="F86">
            <v>7.9021800000000006E-6</v>
          </cell>
          <cell r="G86">
            <v>-1.7E-5</v>
          </cell>
          <cell r="H86">
            <v>4.4284430000000001E-5</v>
          </cell>
          <cell r="I86">
            <v>0.70284500000000005</v>
          </cell>
          <cell r="J86">
            <v>1.166429E-5</v>
          </cell>
          <cell r="K86">
            <v>-2.455E-4</v>
          </cell>
          <cell r="L86">
            <v>2.057507E-5</v>
          </cell>
          <cell r="M86">
            <v>0.70170299999999997</v>
          </cell>
          <cell r="N86">
            <v>7.7323280000000004E-6</v>
          </cell>
          <cell r="O86">
            <v>1.177E-4</v>
          </cell>
          <cell r="P86">
            <v>3.7133389999999999E-5</v>
          </cell>
          <cell r="Q86">
            <v>0.70567299999999999</v>
          </cell>
        </row>
        <row r="87">
          <cell r="B87">
            <v>7.6019E-6</v>
          </cell>
          <cell r="C87">
            <v>2.83E-5</v>
          </cell>
          <cell r="D87">
            <v>3.1780499999999998E-5</v>
          </cell>
          <cell r="E87">
            <v>0.83380900000000002</v>
          </cell>
          <cell r="F87">
            <v>7.9162280000000005E-6</v>
          </cell>
          <cell r="G87">
            <v>-1.7E-5</v>
          </cell>
          <cell r="H87">
            <v>1.7029389999999999E-5</v>
          </cell>
          <cell r="I87">
            <v>0.52954299999999999</v>
          </cell>
          <cell r="J87">
            <v>5.501515E-6</v>
          </cell>
          <cell r="K87">
            <v>-2.4059999999999999E-4</v>
          </cell>
          <cell r="L87">
            <v>3.2676869999999997E-5</v>
          </cell>
          <cell r="M87">
            <v>0.52862699999999996</v>
          </cell>
          <cell r="N87">
            <v>8.5790440000000007E-6</v>
          </cell>
          <cell r="O87">
            <v>1.114E-4</v>
          </cell>
          <cell r="P87">
            <v>1.229273E-5</v>
          </cell>
          <cell r="Q87">
            <v>0.53205800000000003</v>
          </cell>
        </row>
        <row r="88">
          <cell r="B88">
            <v>1.2755829999999999E-5</v>
          </cell>
          <cell r="C88">
            <v>2.5400000000000001E-5</v>
          </cell>
          <cell r="D88">
            <v>7.0710679999999999E-6</v>
          </cell>
          <cell r="E88">
            <v>0.69191499999999995</v>
          </cell>
          <cell r="F88">
            <v>7.4714269999999998E-6</v>
          </cell>
          <cell r="G88">
            <v>-2.3600000000000001E-5</v>
          </cell>
          <cell r="H88">
            <v>9.9442890000000006E-6</v>
          </cell>
          <cell r="I88">
            <v>0.40440900000000002</v>
          </cell>
          <cell r="J88">
            <v>7.6890980000000002E-6</v>
          </cell>
          <cell r="K88">
            <v>-2.4729999999999999E-4</v>
          </cell>
          <cell r="L88">
            <v>1.852926E-5</v>
          </cell>
          <cell r="M88">
            <v>0.403611</v>
          </cell>
          <cell r="N88">
            <v>1.309962E-5</v>
          </cell>
          <cell r="O88">
            <v>1.116E-4</v>
          </cell>
          <cell r="P88">
            <v>3.9721249999999999E-5</v>
          </cell>
          <cell r="Q88">
            <v>0.40638999999999997</v>
          </cell>
        </row>
        <row r="89">
          <cell r="B89">
            <v>5.4863469999999997E-6</v>
          </cell>
          <cell r="C89">
            <v>2.7100000000000001E-5</v>
          </cell>
          <cell r="D89">
            <v>1.7669809999999999E-5</v>
          </cell>
          <cell r="E89">
            <v>0.58251699999999995</v>
          </cell>
          <cell r="F89">
            <v>9.527154E-6</v>
          </cell>
          <cell r="G89">
            <v>-2.0100000000000001E-5</v>
          </cell>
          <cell r="H89">
            <v>8.4327399999999992E-6</v>
          </cell>
          <cell r="I89">
            <v>0.31652599999999997</v>
          </cell>
          <cell r="J89">
            <v>1.0286989999999999E-5</v>
          </cell>
          <cell r="K89">
            <v>-2.5559999999999998E-4</v>
          </cell>
          <cell r="L89">
            <v>1.2516660000000001E-5</v>
          </cell>
          <cell r="M89">
            <v>0.31587700000000002</v>
          </cell>
          <cell r="N89">
            <v>8.4465639999999996E-6</v>
          </cell>
          <cell r="O89">
            <v>1.0670000000000001E-4</v>
          </cell>
          <cell r="P89">
            <v>1.0327960000000001E-5</v>
          </cell>
          <cell r="Q89">
            <v>0.31816800000000001</v>
          </cell>
        </row>
        <row r="90">
          <cell r="B90">
            <v>7.5247740000000001E-6</v>
          </cell>
          <cell r="C90">
            <v>2.0800000000000001E-5</v>
          </cell>
          <cell r="D90">
            <v>1.6865479999999998E-5</v>
          </cell>
          <cell r="E90">
            <v>0.48549199999999998</v>
          </cell>
          <cell r="F90">
            <v>1.0604510000000001E-5</v>
          </cell>
          <cell r="G90">
            <v>-2.6699999999999998E-5</v>
          </cell>
          <cell r="H90">
            <v>1.632993E-5</v>
          </cell>
          <cell r="I90">
            <v>0.24565999999999999</v>
          </cell>
          <cell r="J90">
            <v>1.1396390000000001E-5</v>
          </cell>
          <cell r="K90">
            <v>-2.6289999999999999E-4</v>
          </cell>
          <cell r="L90">
            <v>2.0789949999999999E-5</v>
          </cell>
          <cell r="M90">
            <v>0.24519099999999999</v>
          </cell>
          <cell r="N90">
            <v>1.0496559999999999E-5</v>
          </cell>
          <cell r="O90">
            <v>1.082E-4</v>
          </cell>
          <cell r="P90">
            <v>1.349897E-5</v>
          </cell>
          <cell r="Q90">
            <v>0.24696399999999999</v>
          </cell>
        </row>
        <row r="91">
          <cell r="B91">
            <v>6.9450219999999998E-6</v>
          </cell>
          <cell r="C91">
            <v>3.43E-5</v>
          </cell>
          <cell r="D91">
            <v>1.776388E-5</v>
          </cell>
          <cell r="E91">
            <v>0.39909600000000001</v>
          </cell>
          <cell r="F91">
            <v>9.4192469999999998E-6</v>
          </cell>
          <cell r="G91">
            <v>-2.55E-5</v>
          </cell>
          <cell r="H91">
            <v>1.7081829999999998E-5</v>
          </cell>
          <cell r="I91">
            <v>0.18805830000000001</v>
          </cell>
          <cell r="J91">
            <v>9.882083E-6</v>
          </cell>
          <cell r="K91">
            <v>-2.6289999999999999E-4</v>
          </cell>
          <cell r="L91">
            <v>1.2311239999999999E-5</v>
          </cell>
          <cell r="M91">
            <v>0.18763730000000001</v>
          </cell>
          <cell r="N91">
            <v>1.299957E-5</v>
          </cell>
          <cell r="O91">
            <v>1.2510000000000001E-4</v>
          </cell>
          <cell r="P91">
            <v>1.639241E-5</v>
          </cell>
          <cell r="Q91">
            <v>0.18913160000000001</v>
          </cell>
        </row>
      </sheetData>
      <sheetData sheetId="6">
        <row r="1">
          <cell r="J1">
            <v>91</v>
          </cell>
        </row>
      </sheetData>
      <sheetData sheetId="7"/>
      <sheetData sheetId="8"/>
      <sheetData sheetId="9"/>
      <sheetData sheetId="10" refreshError="1"/>
      <sheetData sheetId="11" refreshError="1"/>
      <sheetData sheetId="12" refreshError="1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2"/>
  <sheetViews>
    <sheetView tabSelected="1" workbookViewId="0">
      <selection activeCell="F1" sqref="F1"/>
    </sheetView>
  </sheetViews>
  <sheetFormatPr baseColWidth="10" defaultRowHeight="15" x14ac:dyDescent="0.25"/>
  <cols>
    <col min="1" max="1" width="11.42578125" style="1"/>
    <col min="2" max="2" width="12" style="1" bestFit="1" customWidth="1"/>
    <col min="3" max="3" width="14.85546875" style="1" bestFit="1" customWidth="1"/>
    <col min="4" max="4" width="11.85546875" style="1" bestFit="1" customWidth="1"/>
    <col min="5" max="6" width="4.7109375" customWidth="1"/>
    <col min="7" max="7" width="12.7109375" bestFit="1" customWidth="1"/>
    <col min="8" max="8" width="12" bestFit="1" customWidth="1"/>
    <col min="9" max="9" width="14.85546875" bestFit="1" customWidth="1"/>
    <col min="10" max="10" width="12.42578125" bestFit="1" customWidth="1"/>
    <col min="11" max="11" width="4.7109375" customWidth="1"/>
    <col min="12" max="12" width="12.7109375" bestFit="1" customWidth="1"/>
    <col min="13" max="13" width="12" bestFit="1" customWidth="1"/>
    <col min="14" max="14" width="14.85546875" bestFit="1" customWidth="1"/>
    <col min="15" max="15" width="12.42578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G1" s="1" t="s">
        <v>4</v>
      </c>
      <c r="H1" s="1" t="s">
        <v>1</v>
      </c>
      <c r="I1" s="1" t="s">
        <v>2</v>
      </c>
      <c r="J1" s="1" t="s">
        <v>20</v>
      </c>
      <c r="L1" s="1" t="s">
        <v>4</v>
      </c>
      <c r="M1" s="1" t="s">
        <v>1</v>
      </c>
      <c r="N1" s="1" t="s">
        <v>2</v>
      </c>
      <c r="O1" s="1" t="s">
        <v>20</v>
      </c>
    </row>
    <row r="2" spans="1:15" x14ac:dyDescent="0.25">
      <c r="A2" s="6">
        <v>250</v>
      </c>
      <c r="B2" s="7">
        <v>0.21471000000000001</v>
      </c>
      <c r="C2" s="7">
        <v>8.1999999999999998E-4</v>
      </c>
      <c r="D2" s="1">
        <v>0.28000000000000003</v>
      </c>
      <c r="G2" s="1">
        <v>250</v>
      </c>
      <c r="H2" s="8">
        <f>_xll.Interpolate($A$2:$A$118,B$2:B$118,$G2)</f>
        <v>0.21471000000000001</v>
      </c>
      <c r="I2" s="8">
        <f>_xll.Interpolate($A$2:$A$118,$C$2:$C$118,$G2)</f>
        <v>8.1999999999999998E-4</v>
      </c>
      <c r="J2" s="9">
        <f>I2/H2*100</f>
        <v>0.38191048390852778</v>
      </c>
      <c r="L2">
        <v>250</v>
      </c>
      <c r="M2" s="8">
        <f>_xll.Interpolate($A$2:$A$118,B$2:B$118,$L2)</f>
        <v>0.21471000000000001</v>
      </c>
      <c r="N2" s="8">
        <f>_xll.Interpolate($A$2:$A$118,$C$2:$C$118,$L2)</f>
        <v>8.1999999999999998E-4</v>
      </c>
      <c r="O2" s="9">
        <f>N2/M2*100</f>
        <v>0.38191048390852778</v>
      </c>
    </row>
    <row r="3" spans="1:15" x14ac:dyDescent="0.25">
      <c r="A3" s="6">
        <v>255</v>
      </c>
      <c r="B3" s="7">
        <v>0.21292</v>
      </c>
      <c r="C3" s="7">
        <v>7.6999999999999996E-4</v>
      </c>
      <c r="D3" s="5">
        <v>0.3</v>
      </c>
      <c r="G3" s="1">
        <v>260</v>
      </c>
      <c r="H3" s="8">
        <f>_xll.Interpolate($A$2:$A$118,B$2:B$118,$G3)</f>
        <v>0.21074000000000001</v>
      </c>
      <c r="I3" s="8">
        <f>_xll.Interpolate($A$2:$A$118,$C$2:$C$118,$G3)</f>
        <v>7.2999999999999996E-4</v>
      </c>
      <c r="J3" s="9">
        <f t="shared" ref="J3:J66" si="0">I3/H3*100</f>
        <v>0.34639840561829738</v>
      </c>
      <c r="L3">
        <v>255</v>
      </c>
      <c r="M3" s="8">
        <f>_xll.Interpolate($A$2:$A$118,B$2:B$118,$L3)</f>
        <v>0.21292</v>
      </c>
      <c r="N3" s="8">
        <f>_xll.Interpolate($A$2:$A$118,$C$2:$C$118,$L3)</f>
        <v>7.6999999999999996E-4</v>
      </c>
      <c r="O3" s="9">
        <f t="shared" ref="O3:O66" si="1">N3/M3*100</f>
        <v>0.36163817396205145</v>
      </c>
    </row>
    <row r="4" spans="1:15" x14ac:dyDescent="0.25">
      <c r="A4" s="6">
        <v>260</v>
      </c>
      <c r="B4" s="7">
        <v>0.21074000000000001</v>
      </c>
      <c r="C4" s="7">
        <v>7.2999999999999996E-4</v>
      </c>
      <c r="D4" s="1">
        <v>0.31</v>
      </c>
      <c r="G4" s="1">
        <v>270</v>
      </c>
      <c r="H4" s="8">
        <f>_xll.Interpolate($A$2:$A$118,B$2:B$118,$G4)</f>
        <v>0.20607</v>
      </c>
      <c r="I4" s="8">
        <f>_xll.Interpolate($A$2:$A$118,$C$2:$C$118,$G4)</f>
        <v>6.4000000000000005E-4</v>
      </c>
      <c r="J4" s="9">
        <f t="shared" si="0"/>
        <v>0.31057407677002963</v>
      </c>
      <c r="L4">
        <v>260</v>
      </c>
      <c r="M4" s="8">
        <f>_xll.Interpolate($A$2:$A$118,B$2:B$118,$L4)</f>
        <v>0.21074000000000001</v>
      </c>
      <c r="N4" s="8">
        <f>_xll.Interpolate($A$2:$A$118,$C$2:$C$118,$L4)</f>
        <v>7.2999999999999996E-4</v>
      </c>
      <c r="O4" s="9">
        <f t="shared" si="1"/>
        <v>0.34639840561829738</v>
      </c>
    </row>
    <row r="5" spans="1:15" x14ac:dyDescent="0.25">
      <c r="A5" s="6">
        <v>265</v>
      </c>
      <c r="B5" s="7">
        <v>0.20816999999999999</v>
      </c>
      <c r="C5" s="7">
        <v>6.8000000000000005E-4</v>
      </c>
      <c r="D5" s="1">
        <v>0.32</v>
      </c>
      <c r="G5" s="1">
        <v>280</v>
      </c>
      <c r="H5" s="8">
        <f>_xll.Interpolate($A$2:$A$118,B$2:B$118,$G5)</f>
        <v>0.21260999999999999</v>
      </c>
      <c r="I5" s="8">
        <f>_xll.Interpolate($A$2:$A$118,$C$2:$C$118,$G5)</f>
        <v>6.0999999999999997E-4</v>
      </c>
      <c r="J5" s="9">
        <f t="shared" si="0"/>
        <v>0.286910305253751</v>
      </c>
      <c r="L5">
        <v>265</v>
      </c>
      <c r="M5" s="8">
        <f>_xll.Interpolate($A$2:$A$118,B$2:B$118,$L5)</f>
        <v>0.20816999999999999</v>
      </c>
      <c r="N5" s="8">
        <f>_xll.Interpolate($A$2:$A$118,$C$2:$C$118,$L5)</f>
        <v>6.8000000000000005E-4</v>
      </c>
      <c r="O5" s="9">
        <f t="shared" si="1"/>
        <v>0.32665609838113085</v>
      </c>
    </row>
    <row r="6" spans="1:15" x14ac:dyDescent="0.25">
      <c r="A6" s="6">
        <v>270</v>
      </c>
      <c r="B6" s="7">
        <v>0.20607</v>
      </c>
      <c r="C6" s="7">
        <v>6.4000000000000005E-4</v>
      </c>
      <c r="D6" s="1">
        <v>0.23</v>
      </c>
      <c r="G6" s="1">
        <v>290</v>
      </c>
      <c r="H6" s="8">
        <f>_xll.Interpolate($A$2:$A$118,B$2:B$118,$G6)</f>
        <v>0.22727</v>
      </c>
      <c r="I6" s="8">
        <f>_xll.Interpolate($A$2:$A$118,$C$2:$C$118,$G6)</f>
        <v>6.0999999999999997E-4</v>
      </c>
      <c r="J6" s="9">
        <f t="shared" si="0"/>
        <v>0.26840322083865004</v>
      </c>
      <c r="L6">
        <v>270</v>
      </c>
      <c r="M6" s="8">
        <f>_xll.Interpolate($A$2:$A$118,B$2:B$118,$L6)</f>
        <v>0.20607</v>
      </c>
      <c r="N6" s="8">
        <f>_xll.Interpolate($A$2:$A$118,$C$2:$C$118,$L6)</f>
        <v>6.4000000000000005E-4</v>
      </c>
      <c r="O6" s="9">
        <f t="shared" si="1"/>
        <v>0.31057407677002963</v>
      </c>
    </row>
    <row r="7" spans="1:15" x14ac:dyDescent="0.25">
      <c r="A7" s="6">
        <v>275</v>
      </c>
      <c r="B7" s="7">
        <v>0.20707999999999999</v>
      </c>
      <c r="C7" s="7">
        <v>5.9999999999999995E-4</v>
      </c>
      <c r="D7" s="5">
        <v>0.16</v>
      </c>
      <c r="G7" s="1">
        <v>300</v>
      </c>
      <c r="H7" s="8">
        <f>_xll.Interpolate($A$2:$A$118,B$2:B$118,$G7)</f>
        <v>0.23396</v>
      </c>
      <c r="I7" s="8">
        <f>_xll.Interpolate($A$2:$A$118,$C$2:$C$118,$G7)</f>
        <v>5.5999999999999995E-4</v>
      </c>
      <c r="J7" s="9">
        <f t="shared" si="0"/>
        <v>0.23935715506924257</v>
      </c>
      <c r="L7">
        <v>275</v>
      </c>
      <c r="M7" s="8">
        <f>_xll.Interpolate($A$2:$A$118,B$2:B$118,$L7)</f>
        <v>0.20707999999999999</v>
      </c>
      <c r="N7" s="8">
        <f>_xll.Interpolate($A$2:$A$118,$C$2:$C$118,$L7)</f>
        <v>5.9999999999999995E-4</v>
      </c>
      <c r="O7" s="9">
        <f t="shared" si="1"/>
        <v>0.2897430944562488</v>
      </c>
    </row>
    <row r="8" spans="1:15" x14ac:dyDescent="0.25">
      <c r="A8" s="6">
        <v>280</v>
      </c>
      <c r="B8" s="7">
        <v>0.21260999999999999</v>
      </c>
      <c r="C8" s="7">
        <v>6.0999999999999997E-4</v>
      </c>
      <c r="D8" s="5">
        <v>0.2</v>
      </c>
      <c r="G8" s="1">
        <v>310</v>
      </c>
      <c r="H8" s="8">
        <f>_xll.Interpolate($A$2:$A$118,B$2:B$118,$G8)</f>
        <v>0.23809</v>
      </c>
      <c r="I8" s="8">
        <f>_xll.Interpolate($A$2:$A$118,$C$2:$C$118,$G8)</f>
        <v>6.4000000000000005E-4</v>
      </c>
      <c r="J8" s="9">
        <f t="shared" si="0"/>
        <v>0.2688059137301021</v>
      </c>
      <c r="L8">
        <v>280</v>
      </c>
      <c r="M8" s="8">
        <f>_xll.Interpolate($A$2:$A$118,B$2:B$118,$L8)</f>
        <v>0.21260999999999999</v>
      </c>
      <c r="N8" s="8">
        <f>_xll.Interpolate($A$2:$A$118,$C$2:$C$118,$L8)</f>
        <v>6.0999999999999997E-4</v>
      </c>
      <c r="O8" s="9">
        <f t="shared" si="1"/>
        <v>0.286910305253751</v>
      </c>
    </row>
    <row r="9" spans="1:15" x14ac:dyDescent="0.25">
      <c r="A9" s="6">
        <v>285</v>
      </c>
      <c r="B9" s="7">
        <v>0.22056999999999999</v>
      </c>
      <c r="C9" s="7">
        <v>5.9000000000000003E-4</v>
      </c>
      <c r="D9" s="1">
        <v>0.23</v>
      </c>
      <c r="G9" s="1">
        <v>320</v>
      </c>
      <c r="H9" s="8">
        <f>_xll.Interpolate($A$2:$A$118,B$2:B$118,$G9)</f>
        <v>0.24279999999999999</v>
      </c>
      <c r="I9" s="8">
        <f>_xll.Interpolate($A$2:$A$118,$C$2:$C$118,$G9)</f>
        <v>7.2999999999999996E-4</v>
      </c>
      <c r="J9" s="9">
        <f t="shared" si="0"/>
        <v>0.30065897858319601</v>
      </c>
      <c r="L9">
        <v>285</v>
      </c>
      <c r="M9" s="8">
        <f>_xll.Interpolate($A$2:$A$118,B$2:B$118,$L9)</f>
        <v>0.22056999999999999</v>
      </c>
      <c r="N9" s="8">
        <f>_xll.Interpolate($A$2:$A$118,$C$2:$C$118,$L9)</f>
        <v>5.9000000000000003E-4</v>
      </c>
      <c r="O9" s="9">
        <f t="shared" si="1"/>
        <v>0.26748877907240337</v>
      </c>
    </row>
    <row r="10" spans="1:15" x14ac:dyDescent="0.25">
      <c r="A10" s="6">
        <v>290</v>
      </c>
      <c r="B10" s="7">
        <v>0.22727</v>
      </c>
      <c r="C10" s="7">
        <v>6.0999999999999997E-4</v>
      </c>
      <c r="D10" s="1">
        <v>0.27</v>
      </c>
      <c r="G10" s="1">
        <v>330</v>
      </c>
      <c r="H10" s="8">
        <f>_xll.Interpolate($A$2:$A$118,B$2:B$118,$G10)</f>
        <v>0.24862999999999999</v>
      </c>
      <c r="I10" s="8">
        <f>_xll.Interpolate($A$2:$A$118,$C$2:$C$118,$G10)</f>
        <v>5.9000000000000003E-4</v>
      </c>
      <c r="J10" s="9">
        <f t="shared" si="0"/>
        <v>0.23730040622611917</v>
      </c>
      <c r="L10">
        <v>290</v>
      </c>
      <c r="M10" s="8">
        <f>_xll.Interpolate($A$2:$A$118,B$2:B$118,$L10)</f>
        <v>0.22727</v>
      </c>
      <c r="N10" s="8">
        <f>_xll.Interpolate($A$2:$A$118,$C$2:$C$118,$L10)</f>
        <v>6.0999999999999997E-4</v>
      </c>
      <c r="O10" s="9">
        <f t="shared" si="1"/>
        <v>0.26840322083865004</v>
      </c>
    </row>
    <row r="11" spans="1:15" x14ac:dyDescent="0.25">
      <c r="A11" s="6">
        <v>295</v>
      </c>
      <c r="B11" s="7">
        <v>0.23139999999999999</v>
      </c>
      <c r="C11" s="7">
        <v>5.9999999999999995E-4</v>
      </c>
      <c r="D11" s="5">
        <v>0.3</v>
      </c>
      <c r="G11" s="1">
        <v>340</v>
      </c>
      <c r="H11" s="8">
        <f>_xll.Interpolate($A$2:$A$118,B$2:B$118,$G11)</f>
        <v>0.25525999999999999</v>
      </c>
      <c r="I11" s="8">
        <f>_xll.Interpolate($A$2:$A$118,$C$2:$C$118,$G11)</f>
        <v>6.0999999999999997E-4</v>
      </c>
      <c r="J11" s="9">
        <f t="shared" si="0"/>
        <v>0.23897202851994045</v>
      </c>
      <c r="L11">
        <v>295</v>
      </c>
      <c r="M11" s="8">
        <f>_xll.Interpolate($A$2:$A$118,B$2:B$118,$L11)</f>
        <v>0.23139999999999999</v>
      </c>
      <c r="N11" s="8">
        <f>_xll.Interpolate($A$2:$A$118,$C$2:$C$118,$L11)</f>
        <v>5.9999999999999995E-4</v>
      </c>
      <c r="O11" s="9">
        <f t="shared" si="1"/>
        <v>0.25929127052722556</v>
      </c>
    </row>
    <row r="12" spans="1:15" x14ac:dyDescent="0.25">
      <c r="A12" s="6">
        <v>300</v>
      </c>
      <c r="B12" s="7">
        <v>0.23396</v>
      </c>
      <c r="C12" s="7">
        <v>5.5999999999999995E-4</v>
      </c>
      <c r="D12" s="1">
        <v>0.34</v>
      </c>
      <c r="G12" s="1">
        <v>350</v>
      </c>
      <c r="H12" s="8">
        <f>_xll.Interpolate($A$2:$A$118,B$2:B$118,$G12)</f>
        <v>0.26157000000000002</v>
      </c>
      <c r="I12" s="8">
        <f>_xll.Interpolate($A$2:$A$118,$C$2:$C$118,$G12)</f>
        <v>6.3000000000000003E-4</v>
      </c>
      <c r="J12" s="9">
        <f t="shared" si="0"/>
        <v>0.24085330886569559</v>
      </c>
      <c r="L12">
        <v>300</v>
      </c>
      <c r="M12" s="8">
        <f>_xll.Interpolate($A$2:$A$118,B$2:B$118,$L12)</f>
        <v>0.23396</v>
      </c>
      <c r="N12" s="8">
        <f>_xll.Interpolate($A$2:$A$118,$C$2:$C$118,$L12)</f>
        <v>5.5999999999999995E-4</v>
      </c>
      <c r="O12" s="9">
        <f t="shared" si="1"/>
        <v>0.23935715506924257</v>
      </c>
    </row>
    <row r="13" spans="1:15" x14ac:dyDescent="0.25">
      <c r="A13" s="6">
        <v>305</v>
      </c>
      <c r="B13" s="7">
        <v>0.23601</v>
      </c>
      <c r="C13" s="7">
        <v>5.8E-4</v>
      </c>
      <c r="D13" s="5">
        <v>0.37</v>
      </c>
      <c r="G13" s="1">
        <v>360</v>
      </c>
      <c r="H13" s="8">
        <f>_xll.Interpolate($A$2:$A$118,B$2:B$118,$G13)</f>
        <v>0.26688000000000001</v>
      </c>
      <c r="I13" s="8">
        <f>_xll.Interpolate($A$2:$A$118,$C$2:$C$118,$G13)</f>
        <v>6.2E-4</v>
      </c>
      <c r="J13" s="9">
        <f t="shared" si="0"/>
        <v>0.23231414868105515</v>
      </c>
      <c r="L13">
        <v>305</v>
      </c>
      <c r="M13" s="8">
        <f>_xll.Interpolate($A$2:$A$118,B$2:B$118,$L13)</f>
        <v>0.23601</v>
      </c>
      <c r="N13" s="8">
        <f>_xll.Interpolate($A$2:$A$118,$C$2:$C$118,$L13)</f>
        <v>5.8E-4</v>
      </c>
      <c r="O13" s="9">
        <f t="shared" si="1"/>
        <v>0.24575229863141396</v>
      </c>
    </row>
    <row r="14" spans="1:15" x14ac:dyDescent="0.25">
      <c r="A14" s="6">
        <v>310</v>
      </c>
      <c r="B14" s="7">
        <v>0.23809</v>
      </c>
      <c r="C14" s="7">
        <v>6.4000000000000005E-4</v>
      </c>
      <c r="D14" s="5">
        <v>0.4</v>
      </c>
      <c r="G14" s="1">
        <v>370</v>
      </c>
      <c r="H14" s="8">
        <f>_xll.Interpolate($A$2:$A$118,B$2:B$118,$G14)</f>
        <v>0.27337</v>
      </c>
      <c r="I14" s="8">
        <f>_xll.Interpolate($A$2:$A$118,$C$2:$C$118,$G14)</f>
        <v>6.2E-4</v>
      </c>
      <c r="J14" s="9">
        <f t="shared" si="0"/>
        <v>0.22679884405750447</v>
      </c>
      <c r="L14">
        <v>310</v>
      </c>
      <c r="M14" s="8">
        <f>_xll.Interpolate($A$2:$A$118,B$2:B$118,$L14)</f>
        <v>0.23809</v>
      </c>
      <c r="N14" s="8">
        <f>_xll.Interpolate($A$2:$A$118,$C$2:$C$118,$L14)</f>
        <v>6.4000000000000005E-4</v>
      </c>
      <c r="O14" s="9">
        <f t="shared" si="1"/>
        <v>0.2688059137301021</v>
      </c>
    </row>
    <row r="15" spans="1:15" x14ac:dyDescent="0.25">
      <c r="A15" s="6">
        <v>315</v>
      </c>
      <c r="B15" s="7">
        <v>0.24032000000000001</v>
      </c>
      <c r="C15" s="7">
        <v>7.1000000000000002E-4</v>
      </c>
      <c r="D15" s="1">
        <v>0.44</v>
      </c>
      <c r="G15" s="1">
        <v>380</v>
      </c>
      <c r="H15" s="8">
        <f>_xll.Interpolate($A$2:$A$118,B$2:B$118,$G15)</f>
        <v>0.28400999999999998</v>
      </c>
      <c r="I15" s="8">
        <f>_xll.Interpolate($A$2:$A$118,$C$2:$C$118,$G15)</f>
        <v>6.8999999999999997E-4</v>
      </c>
      <c r="J15" s="9">
        <f t="shared" si="0"/>
        <v>0.24294919192986161</v>
      </c>
      <c r="L15">
        <v>315</v>
      </c>
      <c r="M15" s="8">
        <f>_xll.Interpolate($A$2:$A$118,B$2:B$118,$L15)</f>
        <v>0.24032000000000001</v>
      </c>
      <c r="N15" s="8">
        <f>_xll.Interpolate($A$2:$A$118,$C$2:$C$118,$L15)</f>
        <v>7.1000000000000002E-4</v>
      </c>
      <c r="O15" s="9">
        <f t="shared" si="1"/>
        <v>0.29543941411451397</v>
      </c>
    </row>
    <row r="16" spans="1:15" x14ac:dyDescent="0.25">
      <c r="A16" s="6">
        <v>320</v>
      </c>
      <c r="B16" s="7">
        <v>0.24279999999999999</v>
      </c>
      <c r="C16" s="7">
        <v>7.2999999999999996E-4</v>
      </c>
      <c r="D16" s="1">
        <v>0.47</v>
      </c>
      <c r="G16" s="1">
        <v>390</v>
      </c>
      <c r="H16" s="8">
        <f>_xll.Interpolate($A$2:$A$118,B$2:B$118,$G16)</f>
        <v>0.29559000000000002</v>
      </c>
      <c r="I16" s="8">
        <f>_xll.Interpolate($A$2:$A$118,$C$2:$C$118,$G16)</f>
        <v>7.2999999999999996E-4</v>
      </c>
      <c r="J16" s="9">
        <f t="shared" si="0"/>
        <v>0.24696369971920562</v>
      </c>
      <c r="L16">
        <v>320</v>
      </c>
      <c r="M16" s="8">
        <f>_xll.Interpolate($A$2:$A$118,B$2:B$118,$L16)</f>
        <v>0.24279999999999999</v>
      </c>
      <c r="N16" s="8">
        <f>_xll.Interpolate($A$2:$A$118,$C$2:$C$118,$L16)</f>
        <v>7.2999999999999996E-4</v>
      </c>
      <c r="O16" s="9">
        <f t="shared" si="1"/>
        <v>0.30065897858319601</v>
      </c>
    </row>
    <row r="17" spans="1:15" x14ac:dyDescent="0.25">
      <c r="A17" s="6">
        <v>325</v>
      </c>
      <c r="B17" s="7">
        <v>0.24557999999999999</v>
      </c>
      <c r="C17" s="7">
        <v>6.8000000000000005E-4</v>
      </c>
      <c r="D17" s="1">
        <v>0.51</v>
      </c>
      <c r="G17" s="1">
        <v>400</v>
      </c>
      <c r="H17" s="8">
        <f>_xll.Interpolate($A$2:$A$118,B$2:B$118,$G17)</f>
        <v>0.30621999999999999</v>
      </c>
      <c r="I17" s="8">
        <f>_xll.Interpolate($A$2:$A$118,$C$2:$C$118,$G17)</f>
        <v>5.5999999999999995E-4</v>
      </c>
      <c r="J17" s="9">
        <f t="shared" si="0"/>
        <v>0.18287505714845537</v>
      </c>
      <c r="L17">
        <v>325</v>
      </c>
      <c r="M17" s="8">
        <f>_xll.Interpolate($A$2:$A$118,B$2:B$118,$L17)</f>
        <v>0.24557999999999999</v>
      </c>
      <c r="N17" s="8">
        <f>_xll.Interpolate($A$2:$A$118,$C$2:$C$118,$L17)</f>
        <v>6.8000000000000005E-4</v>
      </c>
      <c r="O17" s="9">
        <f t="shared" si="1"/>
        <v>0.27689551266389778</v>
      </c>
    </row>
    <row r="18" spans="1:15" x14ac:dyDescent="0.25">
      <c r="A18" s="6">
        <v>330</v>
      </c>
      <c r="B18" s="7">
        <v>0.24862999999999999</v>
      </c>
      <c r="C18" s="7">
        <v>5.9000000000000003E-4</v>
      </c>
      <c r="D18" s="1">
        <v>0.55000000000000004</v>
      </c>
      <c r="G18" s="1">
        <v>410</v>
      </c>
      <c r="H18" s="8">
        <f>_xll.Interpolate($A$2:$A$118,B$2:B$118,$G18)</f>
        <v>0.31674000000000002</v>
      </c>
      <c r="I18" s="8">
        <f>_xll.Interpolate($A$2:$A$118,$C$2:$C$118,$G18)</f>
        <v>5.2999999999999998E-4</v>
      </c>
      <c r="J18" s="9">
        <f t="shared" si="0"/>
        <v>0.16732967102355242</v>
      </c>
      <c r="L18">
        <v>330</v>
      </c>
      <c r="M18" s="8">
        <f>_xll.Interpolate($A$2:$A$118,B$2:B$118,$L18)</f>
        <v>0.24862999999999999</v>
      </c>
      <c r="N18" s="8">
        <f>_xll.Interpolate($A$2:$A$118,$C$2:$C$118,$L18)</f>
        <v>5.9000000000000003E-4</v>
      </c>
      <c r="O18" s="9">
        <f t="shared" si="1"/>
        <v>0.23730040622611917</v>
      </c>
    </row>
    <row r="19" spans="1:15" x14ac:dyDescent="0.25">
      <c r="A19" s="6">
        <v>335</v>
      </c>
      <c r="B19" s="7">
        <v>0.25190000000000001</v>
      </c>
      <c r="C19" s="7">
        <v>5.6999999999999998E-4</v>
      </c>
      <c r="D19" s="1">
        <v>0.59</v>
      </c>
      <c r="G19" s="1">
        <v>420</v>
      </c>
      <c r="H19" s="8">
        <f>_xll.Interpolate($A$2:$A$118,B$2:B$118,$G19)</f>
        <v>0.32658999999999999</v>
      </c>
      <c r="I19" s="8">
        <f>_xll.Interpolate($A$2:$A$118,$C$2:$C$118,$G19)</f>
        <v>5.0000000000000001E-4</v>
      </c>
      <c r="J19" s="9">
        <f t="shared" si="0"/>
        <v>0.15309715545485167</v>
      </c>
      <c r="L19">
        <v>335</v>
      </c>
      <c r="M19" s="8">
        <f>_xll.Interpolate($A$2:$A$118,B$2:B$118,$L19)</f>
        <v>0.25190000000000001</v>
      </c>
      <c r="N19" s="8">
        <f>_xll.Interpolate($A$2:$A$118,$C$2:$C$118,$L19)</f>
        <v>5.6999999999999998E-4</v>
      </c>
      <c r="O19" s="9">
        <f t="shared" si="1"/>
        <v>0.2262802699483922</v>
      </c>
    </row>
    <row r="20" spans="1:15" x14ac:dyDescent="0.25">
      <c r="A20" s="6">
        <v>340</v>
      </c>
      <c r="B20" s="7">
        <v>0.25525999999999999</v>
      </c>
      <c r="C20" s="7">
        <v>6.0999999999999997E-4</v>
      </c>
      <c r="D20" s="1">
        <v>0.64</v>
      </c>
      <c r="G20" s="1">
        <v>430</v>
      </c>
      <c r="H20" s="8">
        <f>_xll.Interpolate($A$2:$A$118,B$2:B$118,$G20)</f>
        <v>0.33594000000000002</v>
      </c>
      <c r="I20" s="8">
        <f>_xll.Interpolate($A$2:$A$118,$C$2:$C$118,$G20)</f>
        <v>4.6999999999999999E-4</v>
      </c>
      <c r="J20" s="9">
        <f t="shared" si="0"/>
        <v>0.13990593558373518</v>
      </c>
      <c r="L20">
        <v>340</v>
      </c>
      <c r="M20" s="8">
        <f>_xll.Interpolate($A$2:$A$118,B$2:B$118,$L20)</f>
        <v>0.25525999999999999</v>
      </c>
      <c r="N20" s="8">
        <f>_xll.Interpolate($A$2:$A$118,$C$2:$C$118,$L20)</f>
        <v>6.0999999999999997E-4</v>
      </c>
      <c r="O20" s="9">
        <f t="shared" si="1"/>
        <v>0.23897202851994045</v>
      </c>
    </row>
    <row r="21" spans="1:15" x14ac:dyDescent="0.25">
      <c r="A21" s="6">
        <v>345</v>
      </c>
      <c r="B21" s="7">
        <v>0.25850000000000001</v>
      </c>
      <c r="C21" s="7">
        <v>6.4000000000000005E-4</v>
      </c>
      <c r="D21" s="1">
        <v>0.68</v>
      </c>
      <c r="G21" s="1">
        <v>440</v>
      </c>
      <c r="H21" s="8">
        <f>_xll.Interpolate($A$2:$A$118,B$2:B$118,$G21)</f>
        <v>0.34504000000000001</v>
      </c>
      <c r="I21" s="8">
        <f>_xll.Interpolate($A$2:$A$118,$C$2:$C$118,$G21)</f>
        <v>4.2999999999999999E-4</v>
      </c>
      <c r="J21" s="9">
        <f t="shared" si="0"/>
        <v>0.12462323208903316</v>
      </c>
      <c r="L21">
        <v>345</v>
      </c>
      <c r="M21" s="8">
        <f>_xll.Interpolate($A$2:$A$118,B$2:B$118,$L21)</f>
        <v>0.25850000000000001</v>
      </c>
      <c r="N21" s="8">
        <f>_xll.Interpolate($A$2:$A$118,$C$2:$C$118,$L21)</f>
        <v>6.4000000000000005E-4</v>
      </c>
      <c r="O21" s="9">
        <f t="shared" si="1"/>
        <v>0.24758220502901357</v>
      </c>
    </row>
    <row r="22" spans="1:15" x14ac:dyDescent="0.25">
      <c r="A22" s="6">
        <v>350</v>
      </c>
      <c r="B22" s="7">
        <v>0.26157000000000002</v>
      </c>
      <c r="C22" s="7">
        <v>6.3000000000000003E-4</v>
      </c>
      <c r="D22" s="1">
        <v>0.72</v>
      </c>
      <c r="G22" s="1">
        <v>450</v>
      </c>
      <c r="H22" s="8">
        <f>_xll.Interpolate($A$2:$A$118,B$2:B$118,$G22)</f>
        <v>0.35400999999999999</v>
      </c>
      <c r="I22" s="8">
        <f>_xll.Interpolate($A$2:$A$118,$C$2:$C$118,$G22)</f>
        <v>3.8999999999999999E-4</v>
      </c>
      <c r="J22" s="9">
        <f t="shared" si="0"/>
        <v>0.11016637948080563</v>
      </c>
      <c r="L22">
        <v>350</v>
      </c>
      <c r="M22" s="8">
        <f>_xll.Interpolate($A$2:$A$118,B$2:B$118,$L22)</f>
        <v>0.26157000000000002</v>
      </c>
      <c r="N22" s="8">
        <f>_xll.Interpolate($A$2:$A$118,$C$2:$C$118,$L22)</f>
        <v>6.3000000000000003E-4</v>
      </c>
      <c r="O22" s="9">
        <f t="shared" si="1"/>
        <v>0.24085330886569559</v>
      </c>
    </row>
    <row r="23" spans="1:15" x14ac:dyDescent="0.25">
      <c r="A23" s="6">
        <v>355</v>
      </c>
      <c r="B23" s="7">
        <v>0.26436999999999999</v>
      </c>
      <c r="C23" s="7">
        <v>6.3000000000000003E-4</v>
      </c>
      <c r="D23" s="1">
        <v>0.76</v>
      </c>
      <c r="G23" s="1">
        <v>460</v>
      </c>
      <c r="H23" s="8">
        <f>_xll.Interpolate($A$2:$A$118,B$2:B$118,$G23)</f>
        <v>0.3629</v>
      </c>
      <c r="I23" s="8">
        <f>_xll.Interpolate($A$2:$A$118,$C$2:$C$118,$G23)</f>
        <v>3.5E-4</v>
      </c>
      <c r="J23" s="9">
        <f t="shared" si="0"/>
        <v>9.6445301736015426E-2</v>
      </c>
      <c r="L23">
        <v>355</v>
      </c>
      <c r="M23" s="8">
        <f>_xll.Interpolate($A$2:$A$118,B$2:B$118,$L23)</f>
        <v>0.26436999999999999</v>
      </c>
      <c r="N23" s="8">
        <f>_xll.Interpolate($A$2:$A$118,$C$2:$C$118,$L23)</f>
        <v>6.3000000000000003E-4</v>
      </c>
      <c r="O23" s="9">
        <f t="shared" si="1"/>
        <v>0.238302379241215</v>
      </c>
    </row>
    <row r="24" spans="1:15" x14ac:dyDescent="0.25">
      <c r="A24" s="6">
        <v>360</v>
      </c>
      <c r="B24" s="7">
        <v>0.26688000000000001</v>
      </c>
      <c r="C24" s="7">
        <v>6.2E-4</v>
      </c>
      <c r="D24" s="1">
        <v>0.79</v>
      </c>
      <c r="G24" s="1">
        <v>470</v>
      </c>
      <c r="H24" s="8">
        <f>_xll.Interpolate($A$2:$A$118,B$2:B$118,$G24)</f>
        <v>0.37169000000000002</v>
      </c>
      <c r="I24" s="8">
        <f>_xll.Interpolate($A$2:$A$118,$C$2:$C$118,$G24)</f>
        <v>3.1E-4</v>
      </c>
      <c r="J24" s="9">
        <f t="shared" si="0"/>
        <v>8.3402835696413671E-2</v>
      </c>
      <c r="L24">
        <v>360</v>
      </c>
      <c r="M24" s="8">
        <f>_xll.Interpolate($A$2:$A$118,B$2:B$118,$L24)</f>
        <v>0.26688000000000001</v>
      </c>
      <c r="N24" s="8">
        <f>_xll.Interpolate($A$2:$A$118,$C$2:$C$118,$L24)</f>
        <v>6.2E-4</v>
      </c>
      <c r="O24" s="9">
        <f t="shared" si="1"/>
        <v>0.23231414868105515</v>
      </c>
    </row>
    <row r="25" spans="1:15" x14ac:dyDescent="0.25">
      <c r="A25" s="6">
        <v>365</v>
      </c>
      <c r="B25" s="7">
        <v>0.26962000000000003</v>
      </c>
      <c r="C25" s="7">
        <v>6.0999999999999997E-4</v>
      </c>
      <c r="D25" s="1">
        <v>0.83</v>
      </c>
      <c r="G25" s="1">
        <v>480</v>
      </c>
      <c r="H25" s="8">
        <f>_xll.Interpolate($A$2:$A$118,B$2:B$118,$G25)</f>
        <v>0.38042999999999999</v>
      </c>
      <c r="I25" s="8">
        <f>_xll.Interpolate($A$2:$A$118,$C$2:$C$118,$G25)</f>
        <v>2.7999999999999998E-4</v>
      </c>
      <c r="J25" s="9">
        <f t="shared" si="0"/>
        <v>7.3600925268774806E-2</v>
      </c>
      <c r="L25">
        <v>365</v>
      </c>
      <c r="M25" s="8">
        <f>_xll.Interpolate($A$2:$A$118,B$2:B$118,$L25)</f>
        <v>0.26962000000000003</v>
      </c>
      <c r="N25" s="8">
        <f>_xll.Interpolate($A$2:$A$118,$C$2:$C$118,$L25)</f>
        <v>6.0999999999999997E-4</v>
      </c>
      <c r="O25" s="9">
        <f t="shared" si="1"/>
        <v>0.22624434389140269</v>
      </c>
    </row>
    <row r="26" spans="1:15" x14ac:dyDescent="0.25">
      <c r="A26" s="6">
        <v>370</v>
      </c>
      <c r="B26" s="7">
        <v>0.27337</v>
      </c>
      <c r="C26" s="7">
        <v>6.2E-4</v>
      </c>
      <c r="D26" s="1">
        <v>0.86</v>
      </c>
      <c r="G26" s="1">
        <v>490</v>
      </c>
      <c r="H26" s="8">
        <f>_xll.Interpolate($A$2:$A$118,B$2:B$118,$G26)</f>
        <v>0.38905000000000001</v>
      </c>
      <c r="I26" s="8">
        <f>_xll.Interpolate($A$2:$A$118,$C$2:$C$118,$G26)</f>
        <v>2.7E-4</v>
      </c>
      <c r="J26" s="9">
        <f t="shared" si="0"/>
        <v>6.9399820074540541E-2</v>
      </c>
      <c r="L26">
        <v>370</v>
      </c>
      <c r="M26" s="8">
        <f>_xll.Interpolate($A$2:$A$118,B$2:B$118,$L26)</f>
        <v>0.27337</v>
      </c>
      <c r="N26" s="8">
        <f>_xll.Interpolate($A$2:$A$118,$C$2:$C$118,$L26)</f>
        <v>6.2E-4</v>
      </c>
      <c r="O26" s="9">
        <f t="shared" si="1"/>
        <v>0.22679884405750447</v>
      </c>
    </row>
    <row r="27" spans="1:15" x14ac:dyDescent="0.25">
      <c r="A27" s="6">
        <v>375</v>
      </c>
      <c r="B27" s="7">
        <v>0.27823999999999999</v>
      </c>
      <c r="C27" s="7">
        <v>6.4000000000000005E-4</v>
      </c>
      <c r="D27" s="1">
        <v>0.88</v>
      </c>
      <c r="G27" s="1">
        <v>500</v>
      </c>
      <c r="H27" s="8">
        <f>_xll.Interpolate($A$2:$A$118,B$2:B$118,$G27)</f>
        <v>0.39762999999999998</v>
      </c>
      <c r="I27" s="8">
        <f>_xll.Interpolate($A$2:$A$118,$C$2:$C$118,$G27)</f>
        <v>2.7E-4</v>
      </c>
      <c r="J27" s="9">
        <f t="shared" si="0"/>
        <v>6.7902321253426559E-2</v>
      </c>
      <c r="L27">
        <v>375</v>
      </c>
      <c r="M27" s="8">
        <f>_xll.Interpolate($A$2:$A$118,B$2:B$118,$L27)</f>
        <v>0.27823999999999999</v>
      </c>
      <c r="N27" s="8">
        <f>_xll.Interpolate($A$2:$A$118,$C$2:$C$118,$L27)</f>
        <v>6.4000000000000005E-4</v>
      </c>
      <c r="O27" s="9">
        <f t="shared" si="1"/>
        <v>0.23001725129384709</v>
      </c>
    </row>
    <row r="28" spans="1:15" x14ac:dyDescent="0.25">
      <c r="A28" s="6">
        <v>380</v>
      </c>
      <c r="B28" s="7">
        <v>0.28400999999999998</v>
      </c>
      <c r="C28" s="7">
        <v>6.8999999999999997E-4</v>
      </c>
      <c r="D28" s="1">
        <v>0.91</v>
      </c>
      <c r="G28" s="1">
        <v>510</v>
      </c>
      <c r="H28" s="8">
        <f>_xll.Interpolate($A$2:$A$118,B$2:B$118,$G28)</f>
        <v>0.40612999999999999</v>
      </c>
      <c r="I28" s="8">
        <f>_xll.Interpolate($A$2:$A$118,$C$2:$C$118,$G28)</f>
        <v>2.7999999999999998E-4</v>
      </c>
      <c r="J28" s="9">
        <f t="shared" si="0"/>
        <v>6.8943441755103044E-2</v>
      </c>
      <c r="L28">
        <v>380</v>
      </c>
      <c r="M28" s="8">
        <f>_xll.Interpolate($A$2:$A$118,B$2:B$118,$L28)</f>
        <v>0.28400999999999998</v>
      </c>
      <c r="N28" s="8">
        <f>_xll.Interpolate($A$2:$A$118,$C$2:$C$118,$L28)</f>
        <v>6.8999999999999997E-4</v>
      </c>
      <c r="O28" s="9">
        <f t="shared" si="1"/>
        <v>0.24294919192986161</v>
      </c>
    </row>
    <row r="29" spans="1:15" x14ac:dyDescent="0.25">
      <c r="A29" s="6">
        <v>385</v>
      </c>
      <c r="B29" s="7">
        <v>0.28991</v>
      </c>
      <c r="C29" s="7">
        <v>7.2000000000000005E-4</v>
      </c>
      <c r="D29" s="1">
        <v>0.92</v>
      </c>
      <c r="G29" s="1">
        <v>520</v>
      </c>
      <c r="H29" s="8">
        <f>_xll.Interpolate($A$2:$A$118,B$2:B$118,$G29)</f>
        <v>0.41454999999999997</v>
      </c>
      <c r="I29" s="8">
        <f>_xll.Interpolate($A$2:$A$118,$C$2:$C$118,$G29)</f>
        <v>2.9E-4</v>
      </c>
      <c r="J29" s="9">
        <f t="shared" si="0"/>
        <v>6.9955373296345436E-2</v>
      </c>
      <c r="L29">
        <v>385</v>
      </c>
      <c r="M29" s="8">
        <f>_xll.Interpolate($A$2:$A$118,B$2:B$118,$L29)</f>
        <v>0.28991</v>
      </c>
      <c r="N29" s="8">
        <f>_xll.Interpolate($A$2:$A$118,$C$2:$C$118,$L29)</f>
        <v>7.2000000000000005E-4</v>
      </c>
      <c r="O29" s="9">
        <f t="shared" si="1"/>
        <v>0.24835293711841605</v>
      </c>
    </row>
    <row r="30" spans="1:15" x14ac:dyDescent="0.25">
      <c r="A30" s="6">
        <v>390</v>
      </c>
      <c r="B30" s="7">
        <v>0.29559000000000002</v>
      </c>
      <c r="C30" s="7">
        <v>7.2999999999999996E-4</v>
      </c>
      <c r="D30" s="5">
        <v>0.94</v>
      </c>
      <c r="G30" s="1">
        <v>530</v>
      </c>
      <c r="H30" s="8">
        <f>_xll.Interpolate($A$2:$A$118,B$2:B$118,$G30)</f>
        <v>0.42292999999999997</v>
      </c>
      <c r="I30" s="8">
        <f>_xll.Interpolate($A$2:$A$118,$C$2:$C$118,$G30)</f>
        <v>2.9999999999999997E-4</v>
      </c>
      <c r="J30" s="9">
        <f t="shared" si="0"/>
        <v>7.0933724256969241E-2</v>
      </c>
      <c r="L30">
        <v>390</v>
      </c>
      <c r="M30" s="8">
        <f>_xll.Interpolate($A$2:$A$118,B$2:B$118,$L30)</f>
        <v>0.29559000000000002</v>
      </c>
      <c r="N30" s="8">
        <f>_xll.Interpolate($A$2:$A$118,$C$2:$C$118,$L30)</f>
        <v>7.2999999999999996E-4</v>
      </c>
      <c r="O30" s="9">
        <f t="shared" si="1"/>
        <v>0.24696369971920562</v>
      </c>
    </row>
    <row r="31" spans="1:15" x14ac:dyDescent="0.25">
      <c r="A31" s="6">
        <v>395</v>
      </c>
      <c r="B31" s="7">
        <v>0.30079</v>
      </c>
      <c r="C31" s="7">
        <v>6.0999999999999997E-4</v>
      </c>
      <c r="D31" s="1">
        <v>0.53</v>
      </c>
      <c r="G31" s="1">
        <v>540</v>
      </c>
      <c r="H31" s="8">
        <f>_xll.Interpolate($A$2:$A$118,B$2:B$118,$G31)</f>
        <v>0.43124000000000001</v>
      </c>
      <c r="I31" s="8">
        <f>_xll.Interpolate($A$2:$A$118,$C$2:$C$118,$G31)</f>
        <v>2.9999999999999997E-4</v>
      </c>
      <c r="J31" s="9">
        <f t="shared" si="0"/>
        <v>6.956683053520081E-2</v>
      </c>
      <c r="L31">
        <v>395</v>
      </c>
      <c r="M31" s="8">
        <f>_xll.Interpolate($A$2:$A$118,B$2:B$118,$L31)</f>
        <v>0.30079</v>
      </c>
      <c r="N31" s="8">
        <f>_xll.Interpolate($A$2:$A$118,$C$2:$C$118,$L31)</f>
        <v>6.0999999999999997E-4</v>
      </c>
      <c r="O31" s="9">
        <f t="shared" si="1"/>
        <v>0.20279929518933473</v>
      </c>
    </row>
    <row r="32" spans="1:15" x14ac:dyDescent="0.25">
      <c r="A32" s="6">
        <v>400</v>
      </c>
      <c r="B32" s="7">
        <v>0.30621999999999999</v>
      </c>
      <c r="C32" s="7">
        <v>5.5999999999999995E-4</v>
      </c>
      <c r="D32" s="1">
        <v>0.53</v>
      </c>
      <c r="G32" s="1">
        <v>550</v>
      </c>
      <c r="H32" s="8">
        <f>_xll.Interpolate($A$2:$A$118,B$2:B$118,$G32)</f>
        <v>0.43951000000000001</v>
      </c>
      <c r="I32" s="8">
        <f>_xll.Interpolate($A$2:$A$118,$C$2:$C$118,$G32)</f>
        <v>2.9999999999999997E-4</v>
      </c>
      <c r="J32" s="9">
        <f t="shared" si="0"/>
        <v>6.8257832586289258E-2</v>
      </c>
      <c r="L32">
        <v>400</v>
      </c>
      <c r="M32" s="8">
        <f>_xll.Interpolate($A$2:$A$118,B$2:B$118,$L32)</f>
        <v>0.30621999999999999</v>
      </c>
      <c r="N32" s="8">
        <f>_xll.Interpolate($A$2:$A$118,$C$2:$C$118,$L32)</f>
        <v>5.5999999999999995E-4</v>
      </c>
      <c r="O32" s="9">
        <f t="shared" si="1"/>
        <v>0.18287505714845537</v>
      </c>
    </row>
    <row r="33" spans="1:15" x14ac:dyDescent="0.25">
      <c r="A33" s="6">
        <v>405</v>
      </c>
      <c r="B33" s="7">
        <v>0.31154999999999999</v>
      </c>
      <c r="C33" s="7">
        <v>5.4000000000000001E-4</v>
      </c>
      <c r="D33" s="1">
        <v>0.52</v>
      </c>
      <c r="G33" s="1">
        <v>560</v>
      </c>
      <c r="H33" s="8">
        <f>_xll.Interpolate($A$2:$A$118,B$2:B$118,$G33)</f>
        <v>0.44774000000000003</v>
      </c>
      <c r="I33" s="8">
        <f>_xll.Interpolate($A$2:$A$118,$C$2:$C$118,$G33)</f>
        <v>2.9999999999999997E-4</v>
      </c>
      <c r="J33" s="9">
        <f t="shared" si="0"/>
        <v>6.7003171483450211E-2</v>
      </c>
      <c r="L33">
        <v>405</v>
      </c>
      <c r="M33" s="8">
        <f>_xll.Interpolate($A$2:$A$118,B$2:B$118,$L33)</f>
        <v>0.31154999999999999</v>
      </c>
      <c r="N33" s="8">
        <f>_xll.Interpolate($A$2:$A$118,$C$2:$C$118,$L33)</f>
        <v>5.4000000000000001E-4</v>
      </c>
      <c r="O33" s="9">
        <f t="shared" si="1"/>
        <v>0.17332691381800674</v>
      </c>
    </row>
    <row r="34" spans="1:15" x14ac:dyDescent="0.25">
      <c r="A34" s="6">
        <v>410</v>
      </c>
      <c r="B34" s="7">
        <v>0.31674000000000002</v>
      </c>
      <c r="C34" s="7">
        <v>5.2999999999999998E-4</v>
      </c>
      <c r="D34" s="1">
        <v>8.7999999999999995E-2</v>
      </c>
      <c r="G34" s="1">
        <v>570</v>
      </c>
      <c r="H34" s="8">
        <f>_xll.Interpolate($A$2:$A$118,B$2:B$118,$G34)</f>
        <v>0.45595000000000002</v>
      </c>
      <c r="I34" s="8">
        <f>_xll.Interpolate($A$2:$A$118,$C$2:$C$118,$G34)</f>
        <v>3.1E-4</v>
      </c>
      <c r="J34" s="9">
        <f t="shared" si="0"/>
        <v>6.7989911174470882E-2</v>
      </c>
      <c r="L34">
        <v>410</v>
      </c>
      <c r="M34" s="8">
        <f>_xll.Interpolate($A$2:$A$118,B$2:B$118,$L34)</f>
        <v>0.31674000000000002</v>
      </c>
      <c r="N34" s="8">
        <f>_xll.Interpolate($A$2:$A$118,$C$2:$C$118,$L34)</f>
        <v>5.2999999999999998E-4</v>
      </c>
      <c r="O34" s="9">
        <f t="shared" si="1"/>
        <v>0.16732967102355242</v>
      </c>
    </row>
    <row r="35" spans="1:15" x14ac:dyDescent="0.25">
      <c r="A35" s="6">
        <v>420</v>
      </c>
      <c r="B35" s="7">
        <v>0.32658999999999999</v>
      </c>
      <c r="C35" s="7">
        <v>5.0000000000000001E-4</v>
      </c>
      <c r="D35" s="1">
        <v>0.11</v>
      </c>
      <c r="G35" s="1">
        <v>580</v>
      </c>
      <c r="H35" s="8">
        <f>_xll.Interpolate($A$2:$A$118,B$2:B$118,$G35)</f>
        <v>0.46411999999999998</v>
      </c>
      <c r="I35" s="8">
        <f>_xll.Interpolate($A$2:$A$118,$C$2:$C$118,$G35)</f>
        <v>3.1E-4</v>
      </c>
      <c r="J35" s="9">
        <f t="shared" si="0"/>
        <v>6.6793070757562703E-2</v>
      </c>
      <c r="L35">
        <v>415</v>
      </c>
      <c r="M35" s="8">
        <f>_xll.Interpolate($A$2:$A$118,B$2:B$118,$L35)</f>
        <v>0.32174041666666664</v>
      </c>
      <c r="N35" s="8">
        <f>_xll.Interpolate($A$2:$A$118,$C$2:$C$118,$L35)</f>
        <v>5.1583333333333342E-4</v>
      </c>
      <c r="O35" s="9">
        <f t="shared" si="1"/>
        <v>0.16032593563392852</v>
      </c>
    </row>
    <row r="36" spans="1:15" x14ac:dyDescent="0.25">
      <c r="A36" s="6">
        <v>430</v>
      </c>
      <c r="B36" s="7">
        <v>0.33594000000000002</v>
      </c>
      <c r="C36" s="7">
        <v>4.6999999999999999E-4</v>
      </c>
      <c r="D36" s="1">
        <v>0.13</v>
      </c>
      <c r="G36" s="1">
        <v>590</v>
      </c>
      <c r="H36" s="8">
        <f>_xll.Interpolate($A$2:$A$118,B$2:B$118,$G36)</f>
        <v>0.47227999999999998</v>
      </c>
      <c r="I36" s="8">
        <f>_xll.Interpolate($A$2:$A$118,$C$2:$C$118,$G36)</f>
        <v>3.2000000000000003E-4</v>
      </c>
      <c r="J36" s="9">
        <f t="shared" si="0"/>
        <v>6.7756415685610236E-2</v>
      </c>
      <c r="L36">
        <v>420</v>
      </c>
      <c r="M36" s="8">
        <f>_xll.Interpolate($A$2:$A$118,B$2:B$118,$L36)</f>
        <v>0.32658999999999999</v>
      </c>
      <c r="N36" s="8">
        <f>_xll.Interpolate($A$2:$A$118,$C$2:$C$118,$L36)</f>
        <v>5.0000000000000001E-4</v>
      </c>
      <c r="O36" s="9">
        <f t="shared" si="1"/>
        <v>0.15309715545485167</v>
      </c>
    </row>
    <row r="37" spans="1:15" x14ac:dyDescent="0.25">
      <c r="A37" s="6">
        <v>440</v>
      </c>
      <c r="B37" s="7">
        <v>0.34504000000000001</v>
      </c>
      <c r="C37" s="7">
        <v>4.2999999999999999E-4</v>
      </c>
      <c r="D37" s="1">
        <v>0.14000000000000001</v>
      </c>
      <c r="G37" s="1">
        <v>600</v>
      </c>
      <c r="H37" s="8">
        <f>_xll.Interpolate($A$2:$A$118,B$2:B$118,$G37)</f>
        <v>0.48041</v>
      </c>
      <c r="I37" s="8">
        <f>_xll.Interpolate($A$2:$A$118,$C$2:$C$118,$G37)</f>
        <v>3.3E-4</v>
      </c>
      <c r="J37" s="9">
        <f t="shared" si="0"/>
        <v>6.8691326158905941E-2</v>
      </c>
      <c r="L37">
        <v>425</v>
      </c>
      <c r="M37" s="8">
        <f>_xll.Interpolate($A$2:$A$118,B$2:B$118,$L37)</f>
        <v>0.33131187500000003</v>
      </c>
      <c r="N37" s="8">
        <f>_xll.Interpolate($A$2:$A$118,$C$2:$C$118,$L37)</f>
        <v>4.8562499999999995E-4</v>
      </c>
      <c r="O37" s="9">
        <f t="shared" si="1"/>
        <v>0.14657639422070212</v>
      </c>
    </row>
    <row r="38" spans="1:15" x14ac:dyDescent="0.25">
      <c r="A38" s="6">
        <v>450</v>
      </c>
      <c r="B38" s="7">
        <v>0.35400999999999999</v>
      </c>
      <c r="C38" s="7">
        <v>3.8999999999999999E-4</v>
      </c>
      <c r="D38" s="1">
        <v>0.16</v>
      </c>
      <c r="G38" s="1">
        <v>610</v>
      </c>
      <c r="H38" s="8">
        <f>_xll.Interpolate($A$2:$A$118,B$2:B$118,$G38)</f>
        <v>0.48860999999999999</v>
      </c>
      <c r="I38" s="8">
        <f>_xll.Interpolate($A$2:$A$118,$C$2:$C$118,$G38)</f>
        <v>3.3E-4</v>
      </c>
      <c r="J38" s="9">
        <f t="shared" si="0"/>
        <v>6.753852766009702E-2</v>
      </c>
      <c r="L38">
        <v>430</v>
      </c>
      <c r="M38" s="8">
        <f>_xll.Interpolate($A$2:$A$118,B$2:B$118,$L38)</f>
        <v>0.33594000000000002</v>
      </c>
      <c r="N38" s="8">
        <f>_xll.Interpolate($A$2:$A$118,$C$2:$C$118,$L38)</f>
        <v>4.6999999999999999E-4</v>
      </c>
      <c r="O38" s="9">
        <f t="shared" si="1"/>
        <v>0.13990593558373518</v>
      </c>
    </row>
    <row r="39" spans="1:15" x14ac:dyDescent="0.25">
      <c r="A39" s="6">
        <v>460</v>
      </c>
      <c r="B39" s="7">
        <v>0.3629</v>
      </c>
      <c r="C39" s="7">
        <v>3.5E-4</v>
      </c>
      <c r="D39" s="1">
        <v>0.18</v>
      </c>
      <c r="G39" s="1">
        <v>620</v>
      </c>
      <c r="H39" s="8">
        <f>_xll.Interpolate($A$2:$A$118,B$2:B$118,$G39)</f>
        <v>0.49674000000000001</v>
      </c>
      <c r="I39" s="8">
        <f>_xll.Interpolate($A$2:$A$118,$C$2:$C$118,$G39)</f>
        <v>3.4000000000000002E-4</v>
      </c>
      <c r="J39" s="9">
        <f t="shared" si="0"/>
        <v>6.8446269678302529E-2</v>
      </c>
      <c r="L39">
        <v>435</v>
      </c>
      <c r="M39" s="8">
        <f>_xll.Interpolate($A$2:$A$118,B$2:B$118,$L39)</f>
        <v>0.34051375</v>
      </c>
      <c r="N39" s="8">
        <f>_xll.Interpolate($A$2:$A$118,$C$2:$C$118,$L39)</f>
        <v>4.5062500000000002E-4</v>
      </c>
      <c r="O39" s="9">
        <f t="shared" si="1"/>
        <v>0.13233679990896111</v>
      </c>
    </row>
    <row r="40" spans="1:15" x14ac:dyDescent="0.25">
      <c r="A40" s="6">
        <v>470</v>
      </c>
      <c r="B40" s="7">
        <v>0.37169000000000002</v>
      </c>
      <c r="C40" s="7">
        <v>3.1E-4</v>
      </c>
      <c r="D40" s="1">
        <v>0.19</v>
      </c>
      <c r="G40" s="1">
        <v>630</v>
      </c>
      <c r="H40" s="8">
        <f>_xll.Interpolate($A$2:$A$118,B$2:B$118,$G40)</f>
        <v>0.50490000000000002</v>
      </c>
      <c r="I40" s="8">
        <f>_xll.Interpolate($A$2:$A$118,$C$2:$C$118,$G40)</f>
        <v>3.4000000000000002E-4</v>
      </c>
      <c r="J40" s="9">
        <f t="shared" si="0"/>
        <v>6.7340067340067339E-2</v>
      </c>
      <c r="L40">
        <v>440</v>
      </c>
      <c r="M40" s="8">
        <f>_xll.Interpolate($A$2:$A$118,B$2:B$118,$L40)</f>
        <v>0.34504000000000001</v>
      </c>
      <c r="N40" s="8">
        <f>_xll.Interpolate($A$2:$A$118,$C$2:$C$118,$L40)</f>
        <v>4.2999999999999999E-4</v>
      </c>
      <c r="O40" s="9">
        <f t="shared" si="1"/>
        <v>0.12462323208903316</v>
      </c>
    </row>
    <row r="41" spans="1:15" x14ac:dyDescent="0.25">
      <c r="A41" s="6">
        <v>480</v>
      </c>
      <c r="B41" s="7">
        <v>0.38042999999999999</v>
      </c>
      <c r="C41" s="7">
        <v>2.7999999999999998E-4</v>
      </c>
      <c r="D41" s="1">
        <v>0.21</v>
      </c>
      <c r="G41" s="1">
        <v>640</v>
      </c>
      <c r="H41" s="8">
        <f>_xll.Interpolate($A$2:$A$118,B$2:B$118,$G41)</f>
        <v>0.51305999999999996</v>
      </c>
      <c r="I41" s="8">
        <f>_xll.Interpolate($A$2:$A$118,$C$2:$C$118,$G41)</f>
        <v>3.5E-4</v>
      </c>
      <c r="J41" s="9">
        <f t="shared" si="0"/>
        <v>6.8218142127626405E-2</v>
      </c>
      <c r="L41">
        <v>445</v>
      </c>
      <c r="M41" s="8">
        <f>_xll.Interpolate($A$2:$A$118,B$2:B$118,$L41)</f>
        <v>0.34953812500000003</v>
      </c>
      <c r="N41" s="8">
        <f>_xll.Interpolate($A$2:$A$118,$C$2:$C$118,$L41)</f>
        <v>4.0999999999999999E-4</v>
      </c>
      <c r="O41" s="9">
        <f t="shared" si="1"/>
        <v>0.11729764814639317</v>
      </c>
    </row>
    <row r="42" spans="1:15" x14ac:dyDescent="0.25">
      <c r="A42" s="6">
        <v>490</v>
      </c>
      <c r="B42" s="7">
        <v>0.38905000000000001</v>
      </c>
      <c r="C42" s="7">
        <v>2.7E-4</v>
      </c>
      <c r="D42" s="1">
        <v>0.22</v>
      </c>
      <c r="G42" s="1">
        <v>650</v>
      </c>
      <c r="H42" s="8">
        <f>_xll.Interpolate($A$2:$A$118,B$2:B$118,$G42)</f>
        <v>0.52119000000000004</v>
      </c>
      <c r="I42" s="8">
        <f>_xll.Interpolate($A$2:$A$118,$C$2:$C$118,$G42)</f>
        <v>3.5E-4</v>
      </c>
      <c r="J42" s="9">
        <f t="shared" si="0"/>
        <v>6.7154012931944201E-2</v>
      </c>
      <c r="L42">
        <v>450</v>
      </c>
      <c r="M42" s="8">
        <f>_xll.Interpolate($A$2:$A$118,B$2:B$118,$L42)</f>
        <v>0.35400999999999999</v>
      </c>
      <c r="N42" s="8">
        <f>_xll.Interpolate($A$2:$A$118,$C$2:$C$118,$L42)</f>
        <v>3.8999999999999999E-4</v>
      </c>
      <c r="O42" s="9">
        <f t="shared" si="1"/>
        <v>0.11016637948080563</v>
      </c>
    </row>
    <row r="43" spans="1:15" x14ac:dyDescent="0.25">
      <c r="A43" s="6">
        <v>500</v>
      </c>
      <c r="B43" s="7">
        <v>0.39762999999999998</v>
      </c>
      <c r="C43" s="7">
        <v>2.7E-4</v>
      </c>
      <c r="D43" s="1">
        <v>0.24</v>
      </c>
      <c r="G43" s="1">
        <v>660</v>
      </c>
      <c r="H43" s="8">
        <f>_xll.Interpolate($A$2:$A$118,B$2:B$118,$G43)</f>
        <v>0.52929999999999999</v>
      </c>
      <c r="I43" s="8">
        <f>_xll.Interpolate($A$2:$A$118,$C$2:$C$118,$G43)</f>
        <v>3.6000000000000002E-4</v>
      </c>
      <c r="J43" s="9">
        <f t="shared" si="0"/>
        <v>6.8014358586812776E-2</v>
      </c>
      <c r="L43">
        <v>455</v>
      </c>
      <c r="M43" s="8">
        <f>_xll.Interpolate($A$2:$A$118,B$2:B$118,$L43)</f>
        <v>0.35846624999999999</v>
      </c>
      <c r="N43" s="8">
        <f>_xll.Interpolate($A$2:$A$118,$C$2:$C$118,$L43)</f>
        <v>3.6999999999999999E-4</v>
      </c>
      <c r="O43" s="9">
        <f t="shared" si="1"/>
        <v>0.10321752745202652</v>
      </c>
    </row>
    <row r="44" spans="1:15" x14ac:dyDescent="0.25">
      <c r="A44" s="6">
        <v>510</v>
      </c>
      <c r="B44" s="7">
        <v>0.40612999999999999</v>
      </c>
      <c r="C44" s="7">
        <v>2.7999999999999998E-4</v>
      </c>
      <c r="D44" s="1">
        <v>0.25</v>
      </c>
      <c r="G44" s="1">
        <v>670</v>
      </c>
      <c r="H44" s="8">
        <f>_xll.Interpolate($A$2:$A$118,B$2:B$118,$G44)</f>
        <v>0.53746000000000005</v>
      </c>
      <c r="I44" s="8">
        <f>_xll.Interpolate($A$2:$A$118,$C$2:$C$118,$G44)</f>
        <v>3.6000000000000002E-4</v>
      </c>
      <c r="J44" s="9">
        <f t="shared" si="0"/>
        <v>6.6981728872846355E-2</v>
      </c>
      <c r="L44">
        <v>460</v>
      </c>
      <c r="M44" s="8">
        <f>_xll.Interpolate($A$2:$A$118,B$2:B$118,$L44)</f>
        <v>0.3629</v>
      </c>
      <c r="N44" s="8">
        <f>_xll.Interpolate($A$2:$A$118,$C$2:$C$118,$L44)</f>
        <v>3.5E-4</v>
      </c>
      <c r="O44" s="9">
        <f t="shared" si="1"/>
        <v>9.6445301736015426E-2</v>
      </c>
    </row>
    <row r="45" spans="1:15" x14ac:dyDescent="0.25">
      <c r="A45" s="6">
        <v>520</v>
      </c>
      <c r="B45" s="7">
        <v>0.41454999999999997</v>
      </c>
      <c r="C45" s="7">
        <v>2.9E-4</v>
      </c>
      <c r="D45" s="1">
        <v>0.26</v>
      </c>
      <c r="G45" s="1">
        <v>680</v>
      </c>
      <c r="H45" s="8">
        <f>_xll.Interpolate($A$2:$A$118,B$2:B$118,$G45)</f>
        <v>0.54557999999999995</v>
      </c>
      <c r="I45" s="8">
        <f>_xll.Interpolate($A$2:$A$118,$C$2:$C$118,$G45)</f>
        <v>3.6999999999999999E-4</v>
      </c>
      <c r="J45" s="9">
        <f t="shared" si="0"/>
        <v>6.7817735254224867E-2</v>
      </c>
      <c r="L45">
        <v>465</v>
      </c>
      <c r="M45" s="8">
        <f>_xll.Interpolate($A$2:$A$118,B$2:B$118,$L45)</f>
        <v>0.36730437500000007</v>
      </c>
      <c r="N45" s="8">
        <f>_xll.Interpolate($A$2:$A$118,$C$2:$C$118,$L45)</f>
        <v>3.2937500000000002E-4</v>
      </c>
      <c r="O45" s="9">
        <f t="shared" si="1"/>
        <v>8.9673584748343915E-2</v>
      </c>
    </row>
    <row r="46" spans="1:15" x14ac:dyDescent="0.25">
      <c r="A46" s="6">
        <v>530</v>
      </c>
      <c r="B46" s="7">
        <v>0.42292999999999997</v>
      </c>
      <c r="C46" s="7">
        <v>2.9999999999999997E-4</v>
      </c>
      <c r="D46" s="1">
        <v>0.28000000000000003</v>
      </c>
      <c r="G46" s="1">
        <v>690</v>
      </c>
      <c r="H46" s="8">
        <f>_xll.Interpolate($A$2:$A$118,B$2:B$118,$G46)</f>
        <v>0.55367999999999995</v>
      </c>
      <c r="I46" s="8">
        <f>_xll.Interpolate($A$2:$A$118,$C$2:$C$118,$G46)</f>
        <v>3.6999999999999999E-4</v>
      </c>
      <c r="J46" s="9">
        <f t="shared" si="0"/>
        <v>6.6825603236526518E-2</v>
      </c>
      <c r="L46">
        <v>470</v>
      </c>
      <c r="M46" s="8">
        <f>_xll.Interpolate($A$2:$A$118,B$2:B$118,$L46)</f>
        <v>0.37169000000000002</v>
      </c>
      <c r="N46" s="8">
        <f>_xll.Interpolate($A$2:$A$118,$C$2:$C$118,$L46)</f>
        <v>3.1E-4</v>
      </c>
      <c r="O46" s="9">
        <f t="shared" si="1"/>
        <v>8.3402835696413671E-2</v>
      </c>
    </row>
    <row r="47" spans="1:15" x14ac:dyDescent="0.25">
      <c r="A47" s="6">
        <v>540</v>
      </c>
      <c r="B47" s="7">
        <v>0.43124000000000001</v>
      </c>
      <c r="C47" s="7">
        <v>2.9999999999999997E-4</v>
      </c>
      <c r="D47" s="1">
        <v>0.28000000000000003</v>
      </c>
      <c r="G47" s="1">
        <v>700</v>
      </c>
      <c r="H47" s="8">
        <f>_xll.Interpolate($A$2:$A$118,B$2:B$118,$G47)</f>
        <v>0.56179999999999997</v>
      </c>
      <c r="I47" s="8">
        <f>_xll.Interpolate($A$2:$A$118,$C$2:$C$118,$G47)</f>
        <v>3.8000000000000002E-4</v>
      </c>
      <c r="J47" s="9">
        <f t="shared" si="0"/>
        <v>6.763972944108225E-2</v>
      </c>
      <c r="L47">
        <v>475</v>
      </c>
      <c r="M47" s="8">
        <f>_xll.Interpolate($A$2:$A$118,B$2:B$118,$L47)</f>
        <v>0.37607062499999999</v>
      </c>
      <c r="N47" s="8">
        <f>_xll.Interpolate($A$2:$A$118,$C$2:$C$118,$L47)</f>
        <v>2.9312499999999998E-4</v>
      </c>
      <c r="O47" s="9">
        <f t="shared" si="1"/>
        <v>7.7944136157935759E-2</v>
      </c>
    </row>
    <row r="48" spans="1:15" x14ac:dyDescent="0.25">
      <c r="A48" s="6">
        <v>550</v>
      </c>
      <c r="B48" s="7">
        <v>0.43951000000000001</v>
      </c>
      <c r="C48" s="7">
        <v>2.9999999999999997E-4</v>
      </c>
      <c r="D48" s="1">
        <v>0.28999999999999998</v>
      </c>
      <c r="G48" s="1">
        <v>710</v>
      </c>
      <c r="H48" s="8">
        <f>_xll.Interpolate($A$2:$A$118,B$2:B$118,$G48)</f>
        <v>0.56989999999999996</v>
      </c>
      <c r="I48" s="8">
        <f>_xll.Interpolate($A$2:$A$118,$C$2:$C$118,$G48)</f>
        <v>3.8000000000000002E-4</v>
      </c>
      <c r="J48" s="9">
        <f t="shared" si="0"/>
        <v>6.6678364625372882E-2</v>
      </c>
      <c r="L48">
        <v>480</v>
      </c>
      <c r="M48" s="8">
        <f>_xll.Interpolate($A$2:$A$118,B$2:B$118,$L48)</f>
        <v>0.38042999999999999</v>
      </c>
      <c r="N48" s="8">
        <f>_xll.Interpolate($A$2:$A$118,$C$2:$C$118,$L48)</f>
        <v>2.7999999999999998E-4</v>
      </c>
      <c r="O48" s="9">
        <f t="shared" si="1"/>
        <v>7.3600925268774806E-2</v>
      </c>
    </row>
    <row r="49" spans="1:15" x14ac:dyDescent="0.25">
      <c r="A49" s="6">
        <v>560</v>
      </c>
      <c r="B49" s="7">
        <v>0.44774000000000003</v>
      </c>
      <c r="C49" s="7">
        <v>2.9999999999999997E-4</v>
      </c>
      <c r="D49" s="5">
        <v>0.3</v>
      </c>
      <c r="G49" s="1">
        <v>720</v>
      </c>
      <c r="H49" s="8">
        <f>_xll.Interpolate($A$2:$A$118,B$2:B$118,$G49)</f>
        <v>0.57799999999999996</v>
      </c>
      <c r="I49" s="8">
        <f>_xll.Interpolate($A$2:$A$118,$C$2:$C$118,$G49)</f>
        <v>3.8999999999999999E-4</v>
      </c>
      <c r="J49" s="9">
        <f t="shared" si="0"/>
        <v>6.7474048442906581E-2</v>
      </c>
      <c r="L49">
        <v>485</v>
      </c>
      <c r="M49" s="8">
        <f>_xll.Interpolate($A$2:$A$118,B$2:B$118,$L49)</f>
        <v>0.38475000000000004</v>
      </c>
      <c r="N49" s="8">
        <f>_xll.Interpolate($A$2:$A$118,$C$2:$C$118,$L49)</f>
        <v>2.7312499999999993E-4</v>
      </c>
      <c r="O49" s="9">
        <f t="shared" si="1"/>
        <v>7.0987654320987637E-2</v>
      </c>
    </row>
    <row r="50" spans="1:15" x14ac:dyDescent="0.25">
      <c r="A50" s="6">
        <v>570</v>
      </c>
      <c r="B50" s="7">
        <v>0.45595000000000002</v>
      </c>
      <c r="C50" s="7">
        <v>3.1E-4</v>
      </c>
      <c r="D50" s="5">
        <v>0.3</v>
      </c>
      <c r="G50" s="1">
        <v>730</v>
      </c>
      <c r="H50" s="8">
        <f>_xll.Interpolate($A$2:$A$118,B$2:B$118,$G50)</f>
        <v>0.58609</v>
      </c>
      <c r="I50" s="8">
        <f>_xll.Interpolate($A$2:$A$118,$C$2:$C$118,$G50)</f>
        <v>3.8999999999999999E-4</v>
      </c>
      <c r="J50" s="9">
        <f t="shared" si="0"/>
        <v>6.6542681158183889E-2</v>
      </c>
      <c r="L50">
        <v>490</v>
      </c>
      <c r="M50" s="8">
        <f>_xll.Interpolate($A$2:$A$118,B$2:B$118,$L50)</f>
        <v>0.38905000000000001</v>
      </c>
      <c r="N50" s="8">
        <f>_xll.Interpolate($A$2:$A$118,$C$2:$C$118,$L50)</f>
        <v>2.7E-4</v>
      </c>
      <c r="O50" s="9">
        <f t="shared" si="1"/>
        <v>6.9399820074540541E-2</v>
      </c>
    </row>
    <row r="51" spans="1:15" x14ac:dyDescent="0.25">
      <c r="A51" s="6">
        <v>580</v>
      </c>
      <c r="B51" s="7">
        <v>0.46411999999999998</v>
      </c>
      <c r="C51" s="7">
        <v>3.1E-4</v>
      </c>
      <c r="D51" s="5">
        <v>0.3</v>
      </c>
      <c r="G51" s="1">
        <v>740</v>
      </c>
      <c r="H51" s="8">
        <f>_xll.Interpolate($A$2:$A$118,B$2:B$118,$G51)</f>
        <v>0.59419</v>
      </c>
      <c r="I51" s="8">
        <f>_xll.Interpolate($A$2:$A$118,$C$2:$C$118,$G51)</f>
        <v>4.0000000000000002E-4</v>
      </c>
      <c r="J51" s="9">
        <f t="shared" si="0"/>
        <v>6.7318534475504468E-2</v>
      </c>
      <c r="L51">
        <v>495</v>
      </c>
      <c r="M51" s="8">
        <f>_xll.Interpolate($A$2:$A$118,B$2:B$118,$L51)</f>
        <v>0.39334750000000002</v>
      </c>
      <c r="N51" s="8">
        <f>_xll.Interpolate($A$2:$A$118,$C$2:$C$118,$L51)</f>
        <v>2.6875E-4</v>
      </c>
      <c r="O51" s="9">
        <f t="shared" si="1"/>
        <v>6.8323810371236623E-2</v>
      </c>
    </row>
    <row r="52" spans="1:15" x14ac:dyDescent="0.25">
      <c r="A52" s="6">
        <v>590</v>
      </c>
      <c r="B52" s="7">
        <v>0.47227999999999998</v>
      </c>
      <c r="C52" s="7">
        <v>3.2000000000000003E-4</v>
      </c>
      <c r="D52" s="1">
        <v>0.28999999999999998</v>
      </c>
      <c r="G52" s="1">
        <v>750</v>
      </c>
      <c r="H52" s="8">
        <f>_xll.Interpolate($A$2:$A$118,B$2:B$118,$G52)</f>
        <v>0.60226000000000002</v>
      </c>
      <c r="I52" s="8">
        <f>_xll.Interpolate($A$2:$A$118,$C$2:$C$118,$G52)</f>
        <v>4.0000000000000002E-4</v>
      </c>
      <c r="J52" s="9">
        <f t="shared" si="0"/>
        <v>6.6416497858067941E-2</v>
      </c>
      <c r="L52">
        <v>500</v>
      </c>
      <c r="M52" s="8">
        <f>_xll.Interpolate($A$2:$A$118,B$2:B$118,$L52)</f>
        <v>0.39762999999999998</v>
      </c>
      <c r="N52" s="8">
        <f>_xll.Interpolate($A$2:$A$118,$C$2:$C$118,$L52)</f>
        <v>2.7E-4</v>
      </c>
      <c r="O52" s="9">
        <f t="shared" si="1"/>
        <v>6.7902321253426559E-2</v>
      </c>
    </row>
    <row r="53" spans="1:15" x14ac:dyDescent="0.25">
      <c r="A53" s="6">
        <v>600</v>
      </c>
      <c r="B53" s="7">
        <v>0.48041</v>
      </c>
      <c r="C53" s="7">
        <v>3.3E-4</v>
      </c>
      <c r="D53" s="1">
        <v>0.28999999999999998</v>
      </c>
      <c r="G53" s="1">
        <v>760</v>
      </c>
      <c r="H53" s="8">
        <f>_xll.Interpolate($A$2:$A$118,B$2:B$118,$G53)</f>
        <v>0.61034999999999995</v>
      </c>
      <c r="I53" s="8">
        <f>_xll.Interpolate($A$2:$A$118,$C$2:$C$118,$G53)</f>
        <v>4.0999999999999999E-4</v>
      </c>
      <c r="J53" s="9">
        <f t="shared" si="0"/>
        <v>6.717457196690424E-2</v>
      </c>
      <c r="L53">
        <v>505</v>
      </c>
      <c r="M53" s="8">
        <f>_xll.Interpolate($A$2:$A$118,B$2:B$118,$L53)</f>
        <v>0.40188999999999997</v>
      </c>
      <c r="N53" s="8">
        <f>_xll.Interpolate($A$2:$A$118,$C$2:$C$118,$L53)</f>
        <v>2.7437499999999999E-4</v>
      </c>
      <c r="O53" s="9">
        <f t="shared" si="1"/>
        <v>6.827116872776133E-2</v>
      </c>
    </row>
    <row r="54" spans="1:15" x14ac:dyDescent="0.25">
      <c r="A54" s="6">
        <v>610</v>
      </c>
      <c r="B54" s="7">
        <v>0.48860999999999999</v>
      </c>
      <c r="C54" s="7">
        <v>3.3E-4</v>
      </c>
      <c r="D54" s="1">
        <v>0.28000000000000003</v>
      </c>
      <c r="G54" s="1">
        <v>770</v>
      </c>
      <c r="H54" s="8">
        <f>_xll.Interpolate($A$2:$A$118,B$2:B$118,$G54)</f>
        <v>0.61841000000000002</v>
      </c>
      <c r="I54" s="8">
        <f>_xll.Interpolate($A$2:$A$118,$C$2:$C$118,$G54)</f>
        <v>4.2000000000000002E-4</v>
      </c>
      <c r="J54" s="9">
        <f t="shared" si="0"/>
        <v>6.7916107436813769E-2</v>
      </c>
      <c r="L54">
        <v>510</v>
      </c>
      <c r="M54" s="8">
        <f>_xll.Interpolate($A$2:$A$118,B$2:B$118,$L54)</f>
        <v>0.40612999999999999</v>
      </c>
      <c r="N54" s="8">
        <f>_xll.Interpolate($A$2:$A$118,$C$2:$C$118,$L54)</f>
        <v>2.7999999999999998E-4</v>
      </c>
      <c r="O54" s="9">
        <f t="shared" si="1"/>
        <v>6.8943441755103044E-2</v>
      </c>
    </row>
    <row r="55" spans="1:15" x14ac:dyDescent="0.25">
      <c r="A55" s="6">
        <v>620</v>
      </c>
      <c r="B55" s="7">
        <v>0.49674000000000001</v>
      </c>
      <c r="C55" s="7">
        <v>3.4000000000000002E-4</v>
      </c>
      <c r="D55" s="1">
        <v>0.27</v>
      </c>
      <c r="G55" s="1">
        <v>780</v>
      </c>
      <c r="H55" s="8">
        <f>_xll.Interpolate($A$2:$A$118,B$2:B$118,$G55)</f>
        <v>0.62646999999999997</v>
      </c>
      <c r="I55" s="8">
        <f>_xll.Interpolate($A$2:$A$118,$C$2:$C$118,$G55)</f>
        <v>4.2000000000000002E-4</v>
      </c>
      <c r="J55" s="9">
        <f t="shared" si="0"/>
        <v>6.7042316471658675E-2</v>
      </c>
      <c r="L55">
        <v>515</v>
      </c>
      <c r="M55" s="8">
        <f>_xll.Interpolate($A$2:$A$118,B$2:B$118,$L55)</f>
        <v>0.41034749999999998</v>
      </c>
      <c r="N55" s="8">
        <f>_xll.Interpolate($A$2:$A$118,$C$2:$C$118,$L55)</f>
        <v>2.8499999999999999E-4</v>
      </c>
      <c r="O55" s="9">
        <f t="shared" si="1"/>
        <v>6.9453329190503177E-2</v>
      </c>
    </row>
    <row r="56" spans="1:15" x14ac:dyDescent="0.25">
      <c r="A56" s="6">
        <v>630</v>
      </c>
      <c r="B56" s="7">
        <v>0.50490000000000002</v>
      </c>
      <c r="C56" s="7">
        <v>3.4000000000000002E-4</v>
      </c>
      <c r="D56" s="1">
        <v>0.26</v>
      </c>
      <c r="G56" s="1">
        <v>790</v>
      </c>
      <c r="H56" s="8">
        <f>_xll.Interpolate($A$2:$A$118,B$2:B$118,$G56)</f>
        <v>0.63453999999999999</v>
      </c>
      <c r="I56" s="8">
        <f>_xll.Interpolate($A$2:$A$118,$C$2:$C$118,$G56)</f>
        <v>4.2999999999999999E-4</v>
      </c>
      <c r="J56" s="9">
        <f t="shared" si="0"/>
        <v>6.7765625492482745E-2</v>
      </c>
      <c r="L56">
        <v>520</v>
      </c>
      <c r="M56" s="8">
        <f>_xll.Interpolate($A$2:$A$118,B$2:B$118,$L56)</f>
        <v>0.41454999999999997</v>
      </c>
      <c r="N56" s="8">
        <f>_xll.Interpolate($A$2:$A$118,$C$2:$C$118,$L56)</f>
        <v>2.9E-4</v>
      </c>
      <c r="O56" s="9">
        <f t="shared" si="1"/>
        <v>6.9955373296345436E-2</v>
      </c>
    </row>
    <row r="57" spans="1:15" x14ac:dyDescent="0.25">
      <c r="A57" s="6">
        <v>640</v>
      </c>
      <c r="B57" s="7">
        <v>0.51305999999999996</v>
      </c>
      <c r="C57" s="7">
        <v>3.5E-4</v>
      </c>
      <c r="D57" s="1">
        <v>0.24</v>
      </c>
      <c r="G57" s="1">
        <v>800</v>
      </c>
      <c r="H57" s="8">
        <f>_xll.Interpolate($A$2:$A$118,B$2:B$118,$G57)</f>
        <v>0.64259999999999995</v>
      </c>
      <c r="I57" s="8">
        <f>_xll.Interpolate($A$2:$A$118,$C$2:$C$118,$G57)</f>
        <v>4.2999999999999999E-4</v>
      </c>
      <c r="J57" s="9">
        <f t="shared" si="0"/>
        <v>6.6915655150949271E-2</v>
      </c>
      <c r="L57">
        <v>525</v>
      </c>
      <c r="M57" s="8">
        <f>_xll.Interpolate($A$2:$A$118,B$2:B$118,$L57)</f>
        <v>0.41874687499999996</v>
      </c>
      <c r="N57" s="8">
        <f>_xll.Interpolate($A$2:$A$118,$C$2:$C$118,$L57)</f>
        <v>2.9562499999999999E-4</v>
      </c>
      <c r="O57" s="9">
        <f t="shared" si="1"/>
        <v>7.0597541772699807E-2</v>
      </c>
    </row>
    <row r="58" spans="1:15" x14ac:dyDescent="0.25">
      <c r="A58" s="6">
        <v>650</v>
      </c>
      <c r="B58" s="7">
        <v>0.52119000000000004</v>
      </c>
      <c r="C58" s="7">
        <v>3.5E-4</v>
      </c>
      <c r="D58" s="1">
        <v>0.22</v>
      </c>
      <c r="G58" s="1">
        <v>810</v>
      </c>
      <c r="H58" s="8">
        <f>_xll.Interpolate($A$2:$A$118,B$2:B$118,$G58)</f>
        <v>0.65063000000000004</v>
      </c>
      <c r="I58" s="8">
        <f>_xll.Interpolate($A$2:$A$118,$C$2:$C$118,$G58)</f>
        <v>4.4000000000000002E-4</v>
      </c>
      <c r="J58" s="9">
        <f t="shared" si="0"/>
        <v>6.7626761753992279E-2</v>
      </c>
      <c r="L58">
        <v>530</v>
      </c>
      <c r="M58" s="8">
        <f>_xll.Interpolate($A$2:$A$118,B$2:B$118,$L58)</f>
        <v>0.42292999999999997</v>
      </c>
      <c r="N58" s="8">
        <f>_xll.Interpolate($A$2:$A$118,$C$2:$C$118,$L58)</f>
        <v>2.9999999999999997E-4</v>
      </c>
      <c r="O58" s="9">
        <f t="shared" si="1"/>
        <v>7.0933724256969241E-2</v>
      </c>
    </row>
    <row r="59" spans="1:15" x14ac:dyDescent="0.25">
      <c r="A59" s="6">
        <v>660</v>
      </c>
      <c r="B59" s="7">
        <v>0.52929999999999999</v>
      </c>
      <c r="C59" s="7">
        <v>3.6000000000000002E-4</v>
      </c>
      <c r="D59" s="1">
        <v>0.19</v>
      </c>
      <c r="G59" s="1">
        <v>820</v>
      </c>
      <c r="H59" s="8">
        <f>_xll.Interpolate($A$2:$A$118,B$2:B$118,$G59)</f>
        <v>0.65869</v>
      </c>
      <c r="I59" s="8">
        <f>_xll.Interpolate($A$2:$A$118,$C$2:$C$118,$G59)</f>
        <v>4.4999999999999999E-4</v>
      </c>
      <c r="J59" s="9">
        <f t="shared" si="0"/>
        <v>6.8317417905236155E-2</v>
      </c>
      <c r="L59">
        <v>535</v>
      </c>
      <c r="M59" s="8">
        <f>_xll.Interpolate($A$2:$A$118,B$2:B$118,$L59)</f>
        <v>0.42709187500000001</v>
      </c>
      <c r="N59" s="8">
        <f>_xll.Interpolate($A$2:$A$118,$C$2:$C$118,$L59)</f>
        <v>3.00625E-4</v>
      </c>
      <c r="O59" s="9">
        <f t="shared" si="1"/>
        <v>7.0388836125716503E-2</v>
      </c>
    </row>
    <row r="60" spans="1:15" x14ac:dyDescent="0.25">
      <c r="A60" s="6">
        <v>670</v>
      </c>
      <c r="B60" s="7">
        <v>0.53746000000000005</v>
      </c>
      <c r="C60" s="7">
        <v>3.6000000000000002E-4</v>
      </c>
      <c r="D60" s="1">
        <v>0.19</v>
      </c>
      <c r="G60" s="1">
        <v>830</v>
      </c>
      <c r="H60" s="8">
        <f>_xll.Interpolate($A$2:$A$118,B$2:B$118,$G60)</f>
        <v>0.66674</v>
      </c>
      <c r="I60" s="8">
        <f>_xll.Interpolate($A$2:$A$118,$C$2:$C$118,$G60)</f>
        <v>4.4999999999999999E-4</v>
      </c>
      <c r="J60" s="9">
        <f t="shared" si="0"/>
        <v>6.7492575816660169E-2</v>
      </c>
      <c r="L60">
        <v>540</v>
      </c>
      <c r="M60" s="8">
        <f>_xll.Interpolate($A$2:$A$118,B$2:B$118,$L60)</f>
        <v>0.43124000000000001</v>
      </c>
      <c r="N60" s="8">
        <f>_xll.Interpolate($A$2:$A$118,$C$2:$C$118,$L60)</f>
        <v>2.9999999999999997E-4</v>
      </c>
      <c r="O60" s="9">
        <f t="shared" si="1"/>
        <v>6.956683053520081E-2</v>
      </c>
    </row>
    <row r="61" spans="1:15" x14ac:dyDescent="0.25">
      <c r="A61" s="6">
        <v>680</v>
      </c>
      <c r="B61" s="7">
        <v>0.54557999999999995</v>
      </c>
      <c r="C61" s="7">
        <v>3.6999999999999999E-4</v>
      </c>
      <c r="D61" s="1">
        <v>0.23</v>
      </c>
      <c r="G61" s="1">
        <v>840</v>
      </c>
      <c r="H61" s="8">
        <f>_xll.Interpolate($A$2:$A$118,B$2:B$118,$G61)</f>
        <v>0.67476999999999998</v>
      </c>
      <c r="I61" s="8">
        <f>_xll.Interpolate($A$2:$A$118,$C$2:$C$118,$G61)</f>
        <v>4.6000000000000001E-4</v>
      </c>
      <c r="J61" s="9">
        <f t="shared" si="0"/>
        <v>6.8171376913615009E-2</v>
      </c>
      <c r="L61">
        <v>545</v>
      </c>
      <c r="M61" s="8">
        <f>_xll.Interpolate($A$2:$A$118,B$2:B$118,$L61)</f>
        <v>0.43537999999999999</v>
      </c>
      <c r="N61" s="8">
        <f>_xll.Interpolate($A$2:$A$118,$C$2:$C$118,$L61)</f>
        <v>2.9999999999999997E-4</v>
      </c>
      <c r="O61" s="9">
        <f t="shared" si="1"/>
        <v>6.8905324084707606E-2</v>
      </c>
    </row>
    <row r="62" spans="1:15" x14ac:dyDescent="0.25">
      <c r="A62" s="6">
        <v>690</v>
      </c>
      <c r="B62" s="7">
        <v>0.55367999999999995</v>
      </c>
      <c r="C62" s="7">
        <v>3.6999999999999999E-4</v>
      </c>
      <c r="D62" s="1">
        <v>0.25</v>
      </c>
      <c r="G62" s="1">
        <v>850</v>
      </c>
      <c r="H62" s="8">
        <f>_xll.Interpolate($A$2:$A$118,B$2:B$118,$G62)</f>
        <v>0.68281000000000003</v>
      </c>
      <c r="I62" s="8">
        <f>_xll.Interpolate($A$2:$A$118,$C$2:$C$118,$G62)</f>
        <v>4.6000000000000001E-4</v>
      </c>
      <c r="J62" s="9">
        <f t="shared" si="0"/>
        <v>6.7368667711369193E-2</v>
      </c>
      <c r="L62">
        <v>550</v>
      </c>
      <c r="M62" s="8">
        <f>_xll.Interpolate($A$2:$A$118,B$2:B$118,$L62)</f>
        <v>0.43951000000000001</v>
      </c>
      <c r="N62" s="8">
        <f>_xll.Interpolate($A$2:$A$118,$C$2:$C$118,$L62)</f>
        <v>2.9999999999999997E-4</v>
      </c>
      <c r="O62" s="9">
        <f t="shared" si="1"/>
        <v>6.8257832586289258E-2</v>
      </c>
    </row>
    <row r="63" spans="1:15" x14ac:dyDescent="0.25">
      <c r="A63" s="6">
        <v>700</v>
      </c>
      <c r="B63" s="7">
        <v>0.56179999999999997</v>
      </c>
      <c r="C63" s="7">
        <v>3.8000000000000002E-4</v>
      </c>
      <c r="D63" s="1">
        <v>0.56000000000000005</v>
      </c>
      <c r="G63" s="1">
        <v>860</v>
      </c>
      <c r="H63" s="8">
        <f>_xll.Interpolate($A$2:$A$118,B$2:B$118,$G63)</f>
        <v>0.69084000000000001</v>
      </c>
      <c r="I63" s="8">
        <f>_xll.Interpolate($A$2:$A$118,$C$2:$C$118,$G63)</f>
        <v>4.6999999999999999E-4</v>
      </c>
      <c r="J63" s="9">
        <f t="shared" si="0"/>
        <v>6.8033119101383821E-2</v>
      </c>
      <c r="L63">
        <v>555</v>
      </c>
      <c r="M63" s="8">
        <f>_xll.Interpolate($A$2:$A$118,B$2:B$118,$L63)</f>
        <v>0.44362875000000007</v>
      </c>
      <c r="N63" s="8">
        <f>_xll.Interpolate($A$2:$A$118,$C$2:$C$118,$L63)</f>
        <v>2.9937499999999994E-4</v>
      </c>
      <c r="O63" s="9">
        <f t="shared" si="1"/>
        <v>6.748322781154284E-2</v>
      </c>
    </row>
    <row r="64" spans="1:15" x14ac:dyDescent="0.25">
      <c r="A64" s="6">
        <v>710</v>
      </c>
      <c r="B64" s="7">
        <v>0.56989999999999996</v>
      </c>
      <c r="C64" s="7">
        <v>3.8000000000000002E-4</v>
      </c>
      <c r="D64" s="1">
        <v>0.91</v>
      </c>
      <c r="G64" s="1">
        <v>870</v>
      </c>
      <c r="H64" s="8">
        <f>_xll.Interpolate($A$2:$A$118,B$2:B$118,$G64)</f>
        <v>0.69886999999999999</v>
      </c>
      <c r="I64" s="8">
        <f>_xll.Interpolate($A$2:$A$118,$C$2:$C$118,$G64)</f>
        <v>4.8000000000000001E-4</v>
      </c>
      <c r="J64" s="9">
        <f t="shared" si="0"/>
        <v>6.8682301429450393E-2</v>
      </c>
      <c r="L64">
        <v>560</v>
      </c>
      <c r="M64" s="8">
        <f>_xll.Interpolate($A$2:$A$118,B$2:B$118,$L64)</f>
        <v>0.44774000000000003</v>
      </c>
      <c r="N64" s="8">
        <f>_xll.Interpolate($A$2:$A$118,$C$2:$C$118,$L64)</f>
        <v>2.9999999999999997E-4</v>
      </c>
      <c r="O64" s="9">
        <f t="shared" si="1"/>
        <v>6.7003171483450211E-2</v>
      </c>
    </row>
    <row r="65" spans="1:15" x14ac:dyDescent="0.25">
      <c r="A65" s="6">
        <v>720</v>
      </c>
      <c r="B65" s="7">
        <v>0.57799999999999996</v>
      </c>
      <c r="C65" s="7">
        <v>3.8999999999999999E-4</v>
      </c>
      <c r="D65" s="1">
        <v>0.95</v>
      </c>
      <c r="G65" s="1">
        <v>880</v>
      </c>
      <c r="H65" s="8">
        <f>_xll.Interpolate($A$2:$A$118,B$2:B$118,$G65)</f>
        <v>0.70689999999999997</v>
      </c>
      <c r="I65" s="8">
        <f>_xll.Interpolate($A$2:$A$118,$C$2:$C$118,$G65)</f>
        <v>4.8999999999999998E-4</v>
      </c>
      <c r="J65" s="9">
        <f t="shared" si="0"/>
        <v>6.9316735040316879E-2</v>
      </c>
      <c r="L65">
        <v>565</v>
      </c>
      <c r="M65" s="8">
        <f>_xll.Interpolate($A$2:$A$118,B$2:B$118,$L65)</f>
        <v>0.45184875000000008</v>
      </c>
      <c r="N65" s="8">
        <f>_xll.Interpolate($A$2:$A$118,$C$2:$C$118,$L65)</f>
        <v>3.0499999999999999E-4</v>
      </c>
      <c r="O65" s="9">
        <f t="shared" si="1"/>
        <v>6.7500463374082581E-2</v>
      </c>
    </row>
    <row r="66" spans="1:15" x14ac:dyDescent="0.25">
      <c r="A66" s="6">
        <v>730</v>
      </c>
      <c r="B66" s="7">
        <v>0.58609</v>
      </c>
      <c r="C66" s="7">
        <v>3.8999999999999999E-4</v>
      </c>
      <c r="D66" s="1">
        <v>0.98</v>
      </c>
      <c r="G66" s="1">
        <v>890</v>
      </c>
      <c r="H66" s="8">
        <f>_xll.Interpolate($A$2:$A$118,B$2:B$118,$G66)</f>
        <v>0.71492</v>
      </c>
      <c r="I66" s="8">
        <f>_xll.Interpolate($A$2:$A$118,$C$2:$C$118,$G66)</f>
        <v>5.1000000000000004E-4</v>
      </c>
      <c r="J66" s="9">
        <f t="shared" si="0"/>
        <v>7.1336653052089749E-2</v>
      </c>
      <c r="L66">
        <v>570</v>
      </c>
      <c r="M66" s="8">
        <f>_xll.Interpolate($A$2:$A$118,B$2:B$118,$L66)</f>
        <v>0.45595000000000002</v>
      </c>
      <c r="N66" s="8">
        <f>_xll.Interpolate($A$2:$A$118,$C$2:$C$118,$L66)</f>
        <v>3.1E-4</v>
      </c>
      <c r="O66" s="9">
        <f t="shared" si="1"/>
        <v>6.7989911174470882E-2</v>
      </c>
    </row>
    <row r="67" spans="1:15" x14ac:dyDescent="0.25">
      <c r="A67" s="6">
        <v>740</v>
      </c>
      <c r="B67" s="7">
        <v>0.59419</v>
      </c>
      <c r="C67" s="7">
        <v>4.0000000000000002E-4</v>
      </c>
      <c r="D67" s="4">
        <v>1</v>
      </c>
      <c r="G67" s="1">
        <v>900</v>
      </c>
      <c r="H67" s="8">
        <f>_xll.Interpolate($A$2:$A$118,B$2:B$118,$G67)</f>
        <v>0.72291000000000005</v>
      </c>
      <c r="I67" s="8">
        <f>_xll.Interpolate($A$2:$A$118,$C$2:$C$118,$G67)</f>
        <v>5.4000000000000001E-4</v>
      </c>
      <c r="J67" s="9">
        <f t="shared" ref="J67:J87" si="2">I67/H67*100</f>
        <v>7.4698095198572442E-2</v>
      </c>
      <c r="L67">
        <v>575</v>
      </c>
      <c r="M67" s="8">
        <f>_xll.Interpolate($A$2:$A$118,B$2:B$118,$L67)</f>
        <v>0.46003812499999996</v>
      </c>
      <c r="N67" s="8">
        <f>_xll.Interpolate($A$2:$A$118,$C$2:$C$118,$L67)</f>
        <v>3.1E-4</v>
      </c>
      <c r="O67" s="9">
        <f t="shared" ref="O67:O130" si="3">N67/M67*100</f>
        <v>6.7385719390104903E-2</v>
      </c>
    </row>
    <row r="68" spans="1:15" x14ac:dyDescent="0.25">
      <c r="A68" s="6">
        <v>750</v>
      </c>
      <c r="B68" s="7">
        <v>0.60226000000000002</v>
      </c>
      <c r="C68" s="7">
        <v>4.0000000000000002E-4</v>
      </c>
      <c r="D68" s="4">
        <v>1</v>
      </c>
      <c r="G68" s="1">
        <v>910</v>
      </c>
      <c r="H68" s="8">
        <f>_xll.Interpolate($A$2:$A$118,B$2:B$118,$G68)</f>
        <v>0.73079000000000005</v>
      </c>
      <c r="I68" s="8">
        <f>_xll.Interpolate($A$2:$A$118,$C$2:$C$118,$G68)</f>
        <v>5.9999999999999995E-4</v>
      </c>
      <c r="J68" s="9">
        <f t="shared" si="2"/>
        <v>8.2102929706208347E-2</v>
      </c>
      <c r="L68">
        <v>580</v>
      </c>
      <c r="M68" s="8">
        <f>_xll.Interpolate($A$2:$A$118,B$2:B$118,$L68)</f>
        <v>0.46411999999999998</v>
      </c>
      <c r="N68" s="8">
        <f>_xll.Interpolate($A$2:$A$118,$C$2:$C$118,$L68)</f>
        <v>3.1E-4</v>
      </c>
      <c r="O68" s="9">
        <f t="shared" si="3"/>
        <v>6.6793070757562703E-2</v>
      </c>
    </row>
    <row r="69" spans="1:15" x14ac:dyDescent="0.25">
      <c r="A69" s="6">
        <v>760</v>
      </c>
      <c r="B69" s="7">
        <v>0.61034999999999995</v>
      </c>
      <c r="C69" s="7">
        <v>4.0999999999999999E-4</v>
      </c>
      <c r="D69" s="4">
        <v>1</v>
      </c>
      <c r="G69" s="1">
        <v>920</v>
      </c>
      <c r="H69" s="8">
        <f>_xll.Interpolate($A$2:$A$118,B$2:B$118,$G69)</f>
        <v>0.73826999999999998</v>
      </c>
      <c r="I69" s="8">
        <f>_xll.Interpolate($A$2:$A$118,$C$2:$C$118,$G69)</f>
        <v>6.3000000000000003E-4</v>
      </c>
      <c r="J69" s="9">
        <f t="shared" si="2"/>
        <v>8.5334633670608326E-2</v>
      </c>
      <c r="L69">
        <v>585</v>
      </c>
      <c r="M69" s="8">
        <f>_xll.Interpolate($A$2:$A$118,B$2:B$118,$L69)</f>
        <v>0.46820249999999997</v>
      </c>
      <c r="N69" s="8">
        <f>_xll.Interpolate($A$2:$A$118,$C$2:$C$118,$L69)</f>
        <v>3.1437500000000004E-4</v>
      </c>
      <c r="O69" s="9">
        <f t="shared" si="3"/>
        <v>6.7145092134279522E-2</v>
      </c>
    </row>
    <row r="70" spans="1:15" x14ac:dyDescent="0.25">
      <c r="A70" s="6">
        <v>770</v>
      </c>
      <c r="B70" s="7">
        <v>0.61841000000000002</v>
      </c>
      <c r="C70" s="7">
        <v>4.2000000000000002E-4</v>
      </c>
      <c r="D70" s="4">
        <v>1</v>
      </c>
      <c r="G70" s="1">
        <v>930</v>
      </c>
      <c r="H70" s="8">
        <f>_xll.Interpolate($A$2:$A$118,B$2:B$118,$G70)</f>
        <v>0.74497000000000002</v>
      </c>
      <c r="I70" s="8">
        <f>_xll.Interpolate($A$2:$A$118,$C$2:$C$118,$G70)</f>
        <v>5.9999999999999995E-4</v>
      </c>
      <c r="J70" s="9">
        <f t="shared" si="2"/>
        <v>8.054015597943541E-2</v>
      </c>
      <c r="L70">
        <v>590</v>
      </c>
      <c r="M70" s="8">
        <f>_xll.Interpolate($A$2:$A$118,B$2:B$118,$L70)</f>
        <v>0.47227999999999998</v>
      </c>
      <c r="N70" s="8">
        <f>_xll.Interpolate($A$2:$A$118,$C$2:$C$118,$L70)</f>
        <v>3.2000000000000003E-4</v>
      </c>
      <c r="O70" s="9">
        <f t="shared" si="3"/>
        <v>6.7756415685610236E-2</v>
      </c>
    </row>
    <row r="71" spans="1:15" x14ac:dyDescent="0.25">
      <c r="A71" s="6">
        <v>780</v>
      </c>
      <c r="B71" s="7">
        <v>0.62646999999999997</v>
      </c>
      <c r="C71" s="7">
        <v>4.2000000000000002E-4</v>
      </c>
      <c r="D71" s="1">
        <v>0.99</v>
      </c>
      <c r="G71" s="1">
        <v>940</v>
      </c>
      <c r="H71" s="8">
        <f>_xll.Interpolate($A$2:$A$118,B$2:B$118,$G71)</f>
        <v>0.75043000000000004</v>
      </c>
      <c r="I71" s="8">
        <f>_xll.Interpolate($A$2:$A$118,$C$2:$C$118,$G71)</f>
        <v>6.6E-4</v>
      </c>
      <c r="J71" s="9">
        <f t="shared" si="2"/>
        <v>8.7949575576669367E-2</v>
      </c>
      <c r="L71">
        <v>595</v>
      </c>
      <c r="M71" s="8">
        <f>_xll.Interpolate($A$2:$A$118,B$2:B$118,$L71)</f>
        <v>0.4763425</v>
      </c>
      <c r="N71" s="8">
        <f>_xll.Interpolate($A$2:$A$118,$C$2:$C$118,$L71)</f>
        <v>3.2562499999999996E-4</v>
      </c>
      <c r="O71" s="9">
        <f t="shared" si="3"/>
        <v>6.8359426253168667E-2</v>
      </c>
    </row>
    <row r="72" spans="1:15" x14ac:dyDescent="0.25">
      <c r="A72" s="6">
        <v>790</v>
      </c>
      <c r="B72" s="7">
        <v>0.63453999999999999</v>
      </c>
      <c r="C72" s="7">
        <v>4.2999999999999999E-4</v>
      </c>
      <c r="D72" s="1">
        <v>0.98</v>
      </c>
      <c r="G72" s="1">
        <v>950</v>
      </c>
      <c r="H72" s="8">
        <f>_xll.Interpolate($A$2:$A$118,B$2:B$118,$G72)</f>
        <v>0.75386000000000009</v>
      </c>
      <c r="I72" s="8">
        <f>_xll.Interpolate($A$2:$A$118,$C$2:$C$118,$G72)</f>
        <v>8.0999999999999996E-4</v>
      </c>
      <c r="J72" s="9">
        <f t="shared" si="2"/>
        <v>0.10744700607539859</v>
      </c>
      <c r="L72">
        <v>600</v>
      </c>
      <c r="M72" s="8">
        <f>_xll.Interpolate($A$2:$A$118,B$2:B$118,$L72)</f>
        <v>0.48041</v>
      </c>
      <c r="N72" s="8">
        <f>_xll.Interpolate($A$2:$A$118,$C$2:$C$118,$L72)</f>
        <v>3.3E-4</v>
      </c>
      <c r="O72" s="9">
        <f t="shared" si="3"/>
        <v>6.8691326158905941E-2</v>
      </c>
    </row>
    <row r="73" spans="1:15" x14ac:dyDescent="0.25">
      <c r="A73" s="6">
        <v>800</v>
      </c>
      <c r="B73" s="7">
        <v>0.64259999999999995</v>
      </c>
      <c r="C73" s="7">
        <v>4.2999999999999999E-4</v>
      </c>
      <c r="D73" s="1">
        <v>0.97</v>
      </c>
      <c r="G73" s="1">
        <v>960</v>
      </c>
      <c r="H73" s="8">
        <f>_xll.Interpolate($A$2:$A$118,B$2:B$118,$G73)</f>
        <v>0.75375000000000003</v>
      </c>
      <c r="I73" s="8">
        <f>_xll.Interpolate($A$2:$A$118,$C$2:$C$118,$G73)</f>
        <v>8.8999999999999995E-4</v>
      </c>
      <c r="J73" s="9">
        <f t="shared" si="2"/>
        <v>0.11807628524046433</v>
      </c>
      <c r="L73">
        <v>605</v>
      </c>
      <c r="M73" s="8">
        <f>_xll.Interpolate($A$2:$A$118,B$2:B$118,$L73)</f>
        <v>0.48451</v>
      </c>
      <c r="N73" s="8">
        <f>_xll.Interpolate($A$2:$A$118,$C$2:$C$118,$L73)</f>
        <v>3.3E-4</v>
      </c>
      <c r="O73" s="9">
        <f t="shared" si="3"/>
        <v>6.8110049328187233E-2</v>
      </c>
    </row>
    <row r="74" spans="1:15" x14ac:dyDescent="0.25">
      <c r="A74" s="6">
        <v>810</v>
      </c>
      <c r="B74" s="7">
        <v>0.65063000000000004</v>
      </c>
      <c r="C74" s="7">
        <v>4.4000000000000002E-4</v>
      </c>
      <c r="D74" s="5">
        <v>0.9</v>
      </c>
      <c r="G74" s="1">
        <v>970</v>
      </c>
      <c r="H74" s="8">
        <f>_xll.Interpolate($A$2:$A$118,B$2:B$118,$G74)</f>
        <v>0.74807000000000001</v>
      </c>
      <c r="I74" s="8">
        <f>_xll.Interpolate($A$2:$A$118,$C$2:$C$118,$G74)</f>
        <v>9.1E-4</v>
      </c>
      <c r="J74" s="9">
        <f t="shared" si="2"/>
        <v>0.12164636999211302</v>
      </c>
      <c r="L74">
        <v>610</v>
      </c>
      <c r="M74" s="8">
        <f>_xll.Interpolate($A$2:$A$118,B$2:B$118,$L74)</f>
        <v>0.48860999999999999</v>
      </c>
      <c r="N74" s="8">
        <f>_xll.Interpolate($A$2:$A$118,$C$2:$C$118,$L74)</f>
        <v>3.3E-4</v>
      </c>
      <c r="O74" s="9">
        <f t="shared" si="3"/>
        <v>6.753852766009702E-2</v>
      </c>
    </row>
    <row r="75" spans="1:15" x14ac:dyDescent="0.25">
      <c r="A75" s="6">
        <v>820</v>
      </c>
      <c r="B75" s="7">
        <v>0.65869</v>
      </c>
      <c r="C75" s="7">
        <v>4.4999999999999999E-4</v>
      </c>
      <c r="D75" s="1">
        <v>0.86</v>
      </c>
      <c r="G75" s="1">
        <v>980</v>
      </c>
      <c r="H75" s="8">
        <f>_xll.Interpolate($A$2:$A$118,B$2:B$118,$G75)</f>
        <v>0.73470000000000002</v>
      </c>
      <c r="I75" s="8">
        <f>_xll.Interpolate($A$2:$A$118,$C$2:$C$118,$G75)</f>
        <v>1.1000000000000001E-3</v>
      </c>
      <c r="J75" s="9">
        <f t="shared" si="2"/>
        <v>0.14972097454743433</v>
      </c>
      <c r="L75">
        <v>615</v>
      </c>
      <c r="M75" s="8">
        <f>_xll.Interpolate($A$2:$A$118,B$2:B$118,$L75)</f>
        <v>0.49267749999999999</v>
      </c>
      <c r="N75" s="8">
        <f>_xll.Interpolate($A$2:$A$118,$C$2:$C$118,$L75)</f>
        <v>3.3500000000000001E-4</v>
      </c>
      <c r="O75" s="9">
        <f t="shared" si="3"/>
        <v>6.7995798468572247E-2</v>
      </c>
    </row>
    <row r="76" spans="1:15" x14ac:dyDescent="0.25">
      <c r="A76" s="6">
        <v>830</v>
      </c>
      <c r="B76" s="7">
        <v>0.66674</v>
      </c>
      <c r="C76" s="7">
        <v>4.4999999999999999E-4</v>
      </c>
      <c r="D76" s="5">
        <v>0.87</v>
      </c>
      <c r="G76" s="1">
        <v>990</v>
      </c>
      <c r="H76" s="8">
        <f>_xll.Interpolate($A$2:$A$118,B$2:B$118,$G76)</f>
        <v>0.71160000000000001</v>
      </c>
      <c r="I76" s="8">
        <f>_xll.Interpolate($A$2:$A$118,$C$2:$C$118,$G76)</f>
        <v>1.5E-3</v>
      </c>
      <c r="J76" s="9">
        <f t="shared" si="2"/>
        <v>0.21079258010118043</v>
      </c>
      <c r="L76">
        <v>620</v>
      </c>
      <c r="M76" s="8">
        <f>_xll.Interpolate($A$2:$A$118,B$2:B$118,$L76)</f>
        <v>0.49674000000000001</v>
      </c>
      <c r="N76" s="8">
        <f>_xll.Interpolate($A$2:$A$118,$C$2:$C$118,$L76)</f>
        <v>3.4000000000000002E-4</v>
      </c>
      <c r="O76" s="9">
        <f t="shared" si="3"/>
        <v>6.8446269678302529E-2</v>
      </c>
    </row>
    <row r="77" spans="1:15" x14ac:dyDescent="0.25">
      <c r="A77" s="6">
        <v>840</v>
      </c>
      <c r="B77" s="7">
        <v>0.67476999999999998</v>
      </c>
      <c r="C77" s="7">
        <v>4.6000000000000001E-4</v>
      </c>
      <c r="D77" s="5">
        <v>0.9</v>
      </c>
      <c r="G77" s="1">
        <v>1000</v>
      </c>
      <c r="H77" s="8">
        <f>_xll.Interpolate($A$2:$A$118,B$2:B$118,$G77)</f>
        <v>0.67659999999999998</v>
      </c>
      <c r="I77" s="8">
        <f>_xll.Interpolate($A$2:$A$118,$C$2:$C$118,$G77)</f>
        <v>1.6999999999999999E-3</v>
      </c>
      <c r="J77" s="9">
        <f t="shared" si="2"/>
        <v>0.25125628140703515</v>
      </c>
      <c r="L77">
        <v>625</v>
      </c>
      <c r="M77" s="8">
        <f>_xll.Interpolate($A$2:$A$118,B$2:B$118,$L77)</f>
        <v>0.50081812500000011</v>
      </c>
      <c r="N77" s="8">
        <f>_xll.Interpolate($A$2:$A$118,$C$2:$C$118,$L77)</f>
        <v>3.4000000000000002E-4</v>
      </c>
      <c r="O77" s="9">
        <f t="shared" si="3"/>
        <v>6.7888916759951526E-2</v>
      </c>
    </row>
    <row r="78" spans="1:15" x14ac:dyDescent="0.25">
      <c r="A78" s="6">
        <v>850</v>
      </c>
      <c r="B78" s="7">
        <v>0.68281000000000003</v>
      </c>
      <c r="C78" s="7">
        <v>4.6000000000000001E-4</v>
      </c>
      <c r="D78" s="1">
        <v>0.98</v>
      </c>
      <c r="G78" s="1">
        <v>1010</v>
      </c>
      <c r="H78" s="8">
        <f>_xll.Interpolate($A$2:$A$118,B$2:B$118,$G78)</f>
        <v>0.62809999999999999</v>
      </c>
      <c r="I78" s="8">
        <f>_xll.Interpolate($A$2:$A$118,$C$2:$C$118,$G78)</f>
        <v>4.1999999999999997E-3</v>
      </c>
      <c r="J78" s="9">
        <f t="shared" si="2"/>
        <v>0.66868333067982799</v>
      </c>
      <c r="L78">
        <v>630</v>
      </c>
      <c r="M78" s="8">
        <f>_xll.Interpolate($A$2:$A$118,B$2:B$118,$L78)</f>
        <v>0.50490000000000002</v>
      </c>
      <c r="N78" s="8">
        <f>_xll.Interpolate($A$2:$A$118,$C$2:$C$118,$L78)</f>
        <v>3.4000000000000002E-4</v>
      </c>
      <c r="O78" s="9">
        <f t="shared" si="3"/>
        <v>6.7340067340067339E-2</v>
      </c>
    </row>
    <row r="79" spans="1:15" x14ac:dyDescent="0.25">
      <c r="A79" s="6">
        <v>860</v>
      </c>
      <c r="B79" s="7">
        <v>0.69084000000000001</v>
      </c>
      <c r="C79" s="7">
        <v>4.6999999999999999E-4</v>
      </c>
      <c r="D79" s="1">
        <v>1.1000000000000001</v>
      </c>
      <c r="G79" s="1">
        <v>1020</v>
      </c>
      <c r="H79" s="8">
        <f>_xll.Interpolate($A$2:$A$118,B$2:B$118,$G79)</f>
        <v>0.56499999999999995</v>
      </c>
      <c r="I79" s="8">
        <f>_xll.Interpolate($A$2:$A$118,$C$2:$C$118,$G79)</f>
        <v>4.4000000000000003E-3</v>
      </c>
      <c r="J79" s="9">
        <f t="shared" si="2"/>
        <v>0.77876106194690276</v>
      </c>
      <c r="L79">
        <v>635</v>
      </c>
      <c r="M79" s="8">
        <f>_xll.Interpolate($A$2:$A$118,B$2:B$118,$L79)</f>
        <v>0.50898187499999992</v>
      </c>
      <c r="N79" s="8">
        <f>_xll.Interpolate($A$2:$A$118,$C$2:$C$118,$L79)</f>
        <v>3.4500000000000004E-4</v>
      </c>
      <c r="O79" s="9">
        <f t="shared" si="3"/>
        <v>6.7782374372368392E-2</v>
      </c>
    </row>
    <row r="80" spans="1:15" x14ac:dyDescent="0.25">
      <c r="A80" s="6">
        <v>870</v>
      </c>
      <c r="B80" s="7">
        <v>0.69886999999999999</v>
      </c>
      <c r="C80" s="7">
        <v>4.8000000000000001E-4</v>
      </c>
      <c r="D80" s="1">
        <v>1.2</v>
      </c>
      <c r="G80" s="1">
        <v>1030</v>
      </c>
      <c r="H80" s="8">
        <f>_xll.Interpolate($A$2:$A$118,B$2:B$118,$G80)</f>
        <v>0.48949999999999999</v>
      </c>
      <c r="I80" s="8">
        <f>_xll.Interpolate($A$2:$A$118,$C$2:$C$118,$G80)</f>
        <v>4.3E-3</v>
      </c>
      <c r="J80" s="9">
        <f t="shared" si="2"/>
        <v>0.87844739530132787</v>
      </c>
      <c r="L80">
        <v>640</v>
      </c>
      <c r="M80" s="8">
        <f>_xll.Interpolate($A$2:$A$118,B$2:B$118,$L80)</f>
        <v>0.51305999999999996</v>
      </c>
      <c r="N80" s="8">
        <f>_xll.Interpolate($A$2:$A$118,$C$2:$C$118,$L80)</f>
        <v>3.5E-4</v>
      </c>
      <c r="O80" s="9">
        <f t="shared" si="3"/>
        <v>6.8218142127626405E-2</v>
      </c>
    </row>
    <row r="81" spans="1:15" x14ac:dyDescent="0.25">
      <c r="A81" s="6">
        <v>880</v>
      </c>
      <c r="B81" s="7">
        <v>0.70689999999999997</v>
      </c>
      <c r="C81" s="7">
        <v>4.8999999999999998E-4</v>
      </c>
      <c r="D81" s="1">
        <v>1.4</v>
      </c>
      <c r="G81" s="1">
        <v>1040</v>
      </c>
      <c r="H81" s="8">
        <f>_xll.Interpolate($A$2:$A$118,B$2:B$118,$G81)</f>
        <v>0.40679999999999999</v>
      </c>
      <c r="I81" s="8">
        <f>_xll.Interpolate($A$2:$A$118,$C$2:$C$118,$G81)</f>
        <v>3.8999999999999998E-3</v>
      </c>
      <c r="J81" s="9">
        <f t="shared" si="2"/>
        <v>0.95870206489675514</v>
      </c>
      <c r="L81">
        <v>645</v>
      </c>
      <c r="M81" s="8">
        <f>_xll.Interpolate($A$2:$A$118,B$2:B$118,$L81)</f>
        <v>0.51712812500000005</v>
      </c>
      <c r="N81" s="8">
        <f>_xll.Interpolate($A$2:$A$118,$C$2:$C$118,$L81)</f>
        <v>3.5E-4</v>
      </c>
      <c r="O81" s="9">
        <f t="shared" si="3"/>
        <v>6.7681486092058901E-2</v>
      </c>
    </row>
    <row r="82" spans="1:15" x14ac:dyDescent="0.25">
      <c r="A82" s="6">
        <v>890</v>
      </c>
      <c r="B82" s="7">
        <v>0.71492</v>
      </c>
      <c r="C82" s="7">
        <v>5.1000000000000004E-4</v>
      </c>
      <c r="D82" s="1">
        <v>1.5</v>
      </c>
      <c r="G82" s="1">
        <v>1050</v>
      </c>
      <c r="H82" s="8">
        <f>_xll.Interpolate($A$2:$A$118,B$2:B$118,$G82)</f>
        <v>0.32369999999999999</v>
      </c>
      <c r="I82" s="8">
        <f>_xll.Interpolate($A$2:$A$118,$C$2:$C$118,$G82)</f>
        <v>3.5999999999999999E-3</v>
      </c>
      <c r="J82" s="9">
        <f t="shared" si="2"/>
        <v>1.1121408711770158</v>
      </c>
      <c r="L82">
        <v>650</v>
      </c>
      <c r="M82" s="8">
        <f>_xll.Interpolate($A$2:$A$118,B$2:B$118,$L82)</f>
        <v>0.52119000000000004</v>
      </c>
      <c r="N82" s="8">
        <f>_xll.Interpolate($A$2:$A$118,$C$2:$C$118,$L82)</f>
        <v>3.5E-4</v>
      </c>
      <c r="O82" s="9">
        <f t="shared" si="3"/>
        <v>6.7154012931944201E-2</v>
      </c>
    </row>
    <row r="83" spans="1:15" x14ac:dyDescent="0.25">
      <c r="A83" s="6">
        <v>900</v>
      </c>
      <c r="B83" s="7">
        <v>0.72291000000000005</v>
      </c>
      <c r="C83" s="7">
        <v>5.4000000000000001E-4</v>
      </c>
      <c r="D83" s="1">
        <v>1.7</v>
      </c>
      <c r="G83" s="1">
        <v>1060</v>
      </c>
      <c r="H83" s="8">
        <f>_xll.Interpolate($A$2:$A$118,B$2:B$118,$G83)</f>
        <v>0.24490000000000001</v>
      </c>
      <c r="I83" s="8">
        <f>_xll.Interpolate($A$2:$A$118,$C$2:$C$118,$G83)</f>
        <v>3.3E-3</v>
      </c>
      <c r="J83" s="9">
        <f t="shared" si="2"/>
        <v>1.347488770926909</v>
      </c>
      <c r="L83">
        <v>655</v>
      </c>
      <c r="M83" s="8">
        <f>_xll.Interpolate($A$2:$A$118,B$2:B$118,$L83)</f>
        <v>0.52524312500000003</v>
      </c>
      <c r="N83" s="8">
        <f>_xll.Interpolate($A$2:$A$118,$C$2:$C$118,$L83)</f>
        <v>3.5500000000000001E-4</v>
      </c>
      <c r="O83" s="9">
        <f t="shared" si="3"/>
        <v>6.7587748054769872E-2</v>
      </c>
    </row>
    <row r="84" spans="1:15" x14ac:dyDescent="0.25">
      <c r="A84" s="6">
        <v>910</v>
      </c>
      <c r="B84" s="7">
        <v>0.73079000000000005</v>
      </c>
      <c r="C84" s="7">
        <v>5.9999999999999995E-4</v>
      </c>
      <c r="D84" s="1">
        <v>1.9</v>
      </c>
      <c r="G84" s="1">
        <v>1070</v>
      </c>
      <c r="H84" s="8">
        <f>_xll.Interpolate($A$2:$A$118,B$2:B$118,$G84)</f>
        <v>0.1883</v>
      </c>
      <c r="I84" s="8">
        <f>_xll.Interpolate($A$2:$A$118,$C$2:$C$118,$G84)</f>
        <v>2.0999999999999999E-3</v>
      </c>
      <c r="J84" s="9">
        <f t="shared" si="2"/>
        <v>1.1152416356877324</v>
      </c>
      <c r="L84">
        <v>660</v>
      </c>
      <c r="M84" s="8">
        <f>_xll.Interpolate($A$2:$A$118,B$2:B$118,$L84)</f>
        <v>0.52929999999999999</v>
      </c>
      <c r="N84" s="8">
        <f>_xll.Interpolate($A$2:$A$118,$C$2:$C$118,$L84)</f>
        <v>3.6000000000000002E-4</v>
      </c>
      <c r="O84" s="9">
        <f t="shared" si="3"/>
        <v>6.8014358586812776E-2</v>
      </c>
    </row>
    <row r="85" spans="1:15" x14ac:dyDescent="0.25">
      <c r="A85" s="6">
        <v>920</v>
      </c>
      <c r="B85" s="7">
        <v>0.73826999999999998</v>
      </c>
      <c r="C85" s="7">
        <v>6.3000000000000003E-4</v>
      </c>
      <c r="D85" s="1">
        <v>2.2000000000000002</v>
      </c>
      <c r="G85" s="1">
        <v>1080</v>
      </c>
      <c r="H85" s="8">
        <f>_xll.Interpolate($A$2:$A$118,B$2:B$118,$G85)</f>
        <v>0.1489</v>
      </c>
      <c r="I85" s="8">
        <f>_xll.Interpolate($A$2:$A$118,$C$2:$C$118,$G85)</f>
        <v>1.8E-3</v>
      </c>
      <c r="J85" s="9">
        <f t="shared" si="2"/>
        <v>1.2088650100738749</v>
      </c>
      <c r="L85">
        <v>665</v>
      </c>
      <c r="M85" s="8">
        <f>_xll.Interpolate($A$2:$A$118,B$2:B$118,$L85)</f>
        <v>0.53337937499999999</v>
      </c>
      <c r="N85" s="8">
        <f>_xll.Interpolate($A$2:$A$118,$C$2:$C$118,$L85)</f>
        <v>3.6000000000000002E-4</v>
      </c>
      <c r="O85" s="9">
        <f t="shared" si="3"/>
        <v>6.7494173354565881E-2</v>
      </c>
    </row>
    <row r="86" spans="1:15" x14ac:dyDescent="0.25">
      <c r="A86" s="6">
        <v>930</v>
      </c>
      <c r="B86" s="7">
        <v>0.74497000000000002</v>
      </c>
      <c r="C86" s="7">
        <v>5.9999999999999995E-4</v>
      </c>
      <c r="D86" s="1">
        <v>2.5</v>
      </c>
      <c r="G86" s="1">
        <v>1090</v>
      </c>
      <c r="H86" s="8">
        <f>_xll.Interpolate($A$2:$A$118,B$2:B$118,$G86)</f>
        <v>0.1167</v>
      </c>
      <c r="I86" s="8">
        <f>_xll.Interpolate($A$2:$A$118,$C$2:$C$118,$G86)</f>
        <v>1.4E-3</v>
      </c>
      <c r="J86" s="9">
        <f t="shared" si="2"/>
        <v>1.1996572407883461</v>
      </c>
      <c r="L86">
        <v>670</v>
      </c>
      <c r="M86" s="8">
        <f>_xll.Interpolate($A$2:$A$118,B$2:B$118,$L86)</f>
        <v>0.53746000000000005</v>
      </c>
      <c r="N86" s="8">
        <f>_xll.Interpolate($A$2:$A$118,$C$2:$C$118,$L86)</f>
        <v>3.6000000000000002E-4</v>
      </c>
      <c r="O86" s="9">
        <f t="shared" si="3"/>
        <v>6.6981728872846355E-2</v>
      </c>
    </row>
    <row r="87" spans="1:15" x14ac:dyDescent="0.25">
      <c r="A87" s="6">
        <v>940</v>
      </c>
      <c r="B87" s="7">
        <v>0.75043000000000004</v>
      </c>
      <c r="C87" s="7">
        <v>6.6E-4</v>
      </c>
      <c r="D87" s="4">
        <v>2.8</v>
      </c>
      <c r="G87" s="1">
        <v>1100</v>
      </c>
      <c r="H87" s="8">
        <f>_xll.Interpolate($A$2:$A$118,B$2:B$118,$G87)</f>
        <v>9.0399999999999994E-2</v>
      </c>
      <c r="I87" s="8">
        <f>_xll.Interpolate($A$2:$A$118,$C$2:$C$118,$G87)</f>
        <v>1.1000000000000001E-3</v>
      </c>
      <c r="J87" s="9">
        <f t="shared" si="2"/>
        <v>1.2168141592920356</v>
      </c>
      <c r="L87">
        <v>675</v>
      </c>
      <c r="M87" s="8">
        <f>_xll.Interpolate($A$2:$A$118,B$2:B$118,$L87)</f>
        <v>0.54152375000000008</v>
      </c>
      <c r="N87" s="8">
        <f>_xll.Interpolate($A$2:$A$118,$C$2:$C$118,$L87)</f>
        <v>3.6500000000000004E-4</v>
      </c>
      <c r="O87" s="9">
        <f t="shared" si="3"/>
        <v>6.740239924841708E-2</v>
      </c>
    </row>
    <row r="88" spans="1:15" x14ac:dyDescent="0.25">
      <c r="A88" s="6">
        <v>950</v>
      </c>
      <c r="B88" s="7">
        <v>0.75385999999999997</v>
      </c>
      <c r="C88" s="7">
        <v>8.0999999999999996E-4</v>
      </c>
      <c r="D88" s="4">
        <v>3</v>
      </c>
      <c r="L88">
        <v>680</v>
      </c>
      <c r="M88" s="8">
        <f>_xll.Interpolate($A$2:$A$118,B$2:B$118,$L88)</f>
        <v>0.54557999999999995</v>
      </c>
      <c r="N88" s="8">
        <f>_xll.Interpolate($A$2:$A$118,$C$2:$C$118,$L88)</f>
        <v>3.6999999999999999E-4</v>
      </c>
      <c r="O88" s="9">
        <f t="shared" si="3"/>
        <v>6.7817735254224867E-2</v>
      </c>
    </row>
    <row r="89" spans="1:15" x14ac:dyDescent="0.25">
      <c r="A89" s="6">
        <v>955</v>
      </c>
      <c r="B89" s="7">
        <v>0.75436999999999999</v>
      </c>
      <c r="C89" s="7">
        <v>8.8000000000000003E-4</v>
      </c>
      <c r="D89" s="1">
        <v>3.2</v>
      </c>
      <c r="L89">
        <v>685</v>
      </c>
      <c r="M89" s="8">
        <f>_xll.Interpolate($A$2:$A$118,B$2:B$118,$L89)</f>
        <v>0.54962999999999995</v>
      </c>
      <c r="N89" s="8">
        <f>_xll.Interpolate($A$2:$A$118,$C$2:$C$118,$L89)</f>
        <v>3.6999999999999994E-4</v>
      </c>
      <c r="O89" s="9">
        <f t="shared" si="3"/>
        <v>6.7318013936648283E-2</v>
      </c>
    </row>
    <row r="90" spans="1:15" x14ac:dyDescent="0.25">
      <c r="A90" s="6">
        <v>960</v>
      </c>
      <c r="B90" s="7">
        <v>0.75375000000000003</v>
      </c>
      <c r="C90" s="7">
        <v>8.8999999999999995E-4</v>
      </c>
      <c r="D90" s="1">
        <v>3.3</v>
      </c>
      <c r="L90">
        <v>690</v>
      </c>
      <c r="M90" s="8">
        <f>_xll.Interpolate($A$2:$A$118,B$2:B$118,$L90)</f>
        <v>0.55367999999999995</v>
      </c>
      <c r="N90" s="8">
        <f>_xll.Interpolate($A$2:$A$118,$C$2:$C$118,$L90)</f>
        <v>3.6999999999999999E-4</v>
      </c>
      <c r="O90" s="9">
        <f t="shared" si="3"/>
        <v>6.6825603236526518E-2</v>
      </c>
    </row>
    <row r="91" spans="1:15" x14ac:dyDescent="0.25">
      <c r="A91" s="6">
        <v>965</v>
      </c>
      <c r="B91" s="7">
        <v>0.75175000000000003</v>
      </c>
      <c r="C91" s="7">
        <v>8.8000000000000003E-4</v>
      </c>
      <c r="D91" s="1">
        <v>3.4</v>
      </c>
      <c r="L91">
        <v>695</v>
      </c>
      <c r="M91" s="8">
        <f>_xll.Interpolate($A$2:$A$118,B$2:B$118,$L91)</f>
        <v>0.5577399999999999</v>
      </c>
      <c r="N91" s="8">
        <f>_xll.Interpolate($A$2:$A$118,$C$2:$C$118,$L91)</f>
        <v>3.7500000000000006E-4</v>
      </c>
      <c r="O91" s="9">
        <f t="shared" si="3"/>
        <v>6.7235629504787203E-2</v>
      </c>
    </row>
    <row r="92" spans="1:15" x14ac:dyDescent="0.25">
      <c r="A92" s="6">
        <v>970</v>
      </c>
      <c r="B92" s="7">
        <v>0.74807000000000001</v>
      </c>
      <c r="C92" s="7">
        <v>9.1E-4</v>
      </c>
      <c r="D92" s="1">
        <v>3.5</v>
      </c>
      <c r="L92">
        <v>700</v>
      </c>
      <c r="M92" s="8">
        <f>_xll.Interpolate($A$2:$A$118,B$2:B$118,$L92)</f>
        <v>0.56179999999999997</v>
      </c>
      <c r="N92" s="8">
        <f>_xll.Interpolate($A$2:$A$118,$C$2:$C$118,$L92)</f>
        <v>3.8000000000000002E-4</v>
      </c>
      <c r="O92" s="9">
        <f t="shared" si="3"/>
        <v>6.763972944108225E-2</v>
      </c>
    </row>
    <row r="93" spans="1:15" x14ac:dyDescent="0.25">
      <c r="A93" s="6">
        <v>975</v>
      </c>
      <c r="B93" s="11">
        <v>0.74239999999999995</v>
      </c>
      <c r="C93" s="7">
        <v>1E-3</v>
      </c>
      <c r="D93" s="1">
        <v>3.6</v>
      </c>
      <c r="L93">
        <v>705</v>
      </c>
      <c r="M93" s="8">
        <f>_xll.Interpolate($A$2:$A$118,B$2:B$118,$L93)</f>
        <v>0.56585124999999992</v>
      </c>
      <c r="N93" s="8">
        <f>_xll.Interpolate($A$2:$A$118,$C$2:$C$118,$L93)</f>
        <v>3.7999999999999997E-4</v>
      </c>
      <c r="O93" s="9">
        <f t="shared" si="3"/>
        <v>6.7155458258685477E-2</v>
      </c>
    </row>
    <row r="94" spans="1:15" x14ac:dyDescent="0.25">
      <c r="A94" s="6">
        <v>980</v>
      </c>
      <c r="B94" s="11">
        <v>0.73470000000000002</v>
      </c>
      <c r="C94" s="7">
        <v>1.1000000000000001E-3</v>
      </c>
      <c r="D94" s="1">
        <v>3.7</v>
      </c>
      <c r="L94">
        <v>710</v>
      </c>
      <c r="M94" s="8">
        <f>_xll.Interpolate($A$2:$A$118,B$2:B$118,$L94)</f>
        <v>0.56989999999999996</v>
      </c>
      <c r="N94" s="8">
        <f>_xll.Interpolate($A$2:$A$118,$C$2:$C$118,$L94)</f>
        <v>3.8000000000000002E-4</v>
      </c>
      <c r="O94" s="9">
        <f t="shared" si="3"/>
        <v>6.6678364625372882E-2</v>
      </c>
    </row>
    <row r="95" spans="1:15" x14ac:dyDescent="0.25">
      <c r="A95" s="6">
        <v>985</v>
      </c>
      <c r="B95" s="11">
        <v>0.72440000000000004</v>
      </c>
      <c r="C95" s="7">
        <v>1.2999999999999999E-3</v>
      </c>
      <c r="D95" s="4">
        <v>3.8</v>
      </c>
      <c r="L95">
        <v>715</v>
      </c>
      <c r="M95" s="8">
        <f>_xll.Interpolate($A$2:$A$118,B$2:B$118,$L95)</f>
        <v>0.57395062499999994</v>
      </c>
      <c r="N95" s="8">
        <f>_xll.Interpolate($A$2:$A$118,$C$2:$C$118,$L95)</f>
        <v>3.8500000000000003E-4</v>
      </c>
      <c r="O95" s="9">
        <f t="shared" si="3"/>
        <v>6.7078940806101578E-2</v>
      </c>
    </row>
    <row r="96" spans="1:15" x14ac:dyDescent="0.25">
      <c r="A96" s="6">
        <v>990</v>
      </c>
      <c r="B96" s="11">
        <v>0.71160000000000001</v>
      </c>
      <c r="C96" s="7">
        <v>1.5E-3</v>
      </c>
      <c r="D96" s="1">
        <v>3.9</v>
      </c>
      <c r="L96">
        <v>720</v>
      </c>
      <c r="M96" s="8">
        <f>_xll.Interpolate($A$2:$A$118,B$2:B$118,$L96)</f>
        <v>0.57799999999999996</v>
      </c>
      <c r="N96" s="8">
        <f>_xll.Interpolate($A$2:$A$118,$C$2:$C$118,$L96)</f>
        <v>3.8999999999999999E-4</v>
      </c>
      <c r="O96" s="9">
        <f t="shared" si="3"/>
        <v>6.7474048442906581E-2</v>
      </c>
    </row>
    <row r="97" spans="1:15" x14ac:dyDescent="0.25">
      <c r="A97" s="6">
        <v>995</v>
      </c>
      <c r="B97" s="11">
        <v>0.69569999999999999</v>
      </c>
      <c r="C97" s="7">
        <v>1.6000000000000001E-3</v>
      </c>
      <c r="D97" s="1">
        <v>3.9</v>
      </c>
      <c r="L97">
        <v>725</v>
      </c>
      <c r="M97" s="8">
        <f>_xll.Interpolate($A$2:$A$118,B$2:B$118,$L97)</f>
        <v>0.58204499999999992</v>
      </c>
      <c r="N97" s="8">
        <f>_xll.Interpolate($A$2:$A$118,$C$2:$C$118,$L97)</f>
        <v>3.8999999999999999E-4</v>
      </c>
      <c r="O97" s="9">
        <f t="shared" si="3"/>
        <v>6.7005128469448241E-2</v>
      </c>
    </row>
    <row r="98" spans="1:15" x14ac:dyDescent="0.25">
      <c r="A98" s="6">
        <v>1000</v>
      </c>
      <c r="B98" s="11">
        <v>0.67659999999999998</v>
      </c>
      <c r="C98" s="7">
        <v>1.6999999999999999E-3</v>
      </c>
      <c r="D98" s="4">
        <v>4</v>
      </c>
      <c r="L98">
        <v>730</v>
      </c>
      <c r="M98" s="8">
        <f>_xll.Interpolate($A$2:$A$118,B$2:B$118,$L98)</f>
        <v>0.58609</v>
      </c>
      <c r="N98" s="8">
        <f>_xll.Interpolate($A$2:$A$118,$C$2:$C$118,$L98)</f>
        <v>3.8999999999999999E-4</v>
      </c>
      <c r="O98" s="9">
        <f t="shared" si="3"/>
        <v>6.6542681158183889E-2</v>
      </c>
    </row>
    <row r="99" spans="1:15" x14ac:dyDescent="0.25">
      <c r="A99" s="6">
        <v>1005</v>
      </c>
      <c r="B99" s="11">
        <v>0.65480000000000005</v>
      </c>
      <c r="C99" s="7">
        <v>4.1999999999999997E-3</v>
      </c>
      <c r="D99" s="1">
        <v>4.0999999999999996</v>
      </c>
      <c r="L99">
        <v>735</v>
      </c>
      <c r="M99" s="8">
        <f>_xll.Interpolate($A$2:$A$118,B$2:B$118,$L99)</f>
        <v>0.59014125000000006</v>
      </c>
      <c r="N99" s="8">
        <f>_xll.Interpolate($A$2:$A$118,$C$2:$C$118,$L99)</f>
        <v>3.9500000000000001E-4</v>
      </c>
      <c r="O99" s="9">
        <f t="shared" si="3"/>
        <v>6.6933128297674491E-2</v>
      </c>
    </row>
    <row r="100" spans="1:15" x14ac:dyDescent="0.25">
      <c r="A100" s="6">
        <v>1010</v>
      </c>
      <c r="B100" s="11">
        <v>0.62809999999999999</v>
      </c>
      <c r="C100" s="7">
        <v>4.1999999999999997E-3</v>
      </c>
      <c r="D100" s="1">
        <v>4.0999999999999996</v>
      </c>
      <c r="L100">
        <v>740</v>
      </c>
      <c r="M100" s="8">
        <f>_xll.Interpolate($A$2:$A$118,B$2:B$118,$L100)</f>
        <v>0.59419</v>
      </c>
      <c r="N100" s="8">
        <f>_xll.Interpolate($A$2:$A$118,$C$2:$C$118,$L100)</f>
        <v>4.0000000000000002E-4</v>
      </c>
      <c r="O100" s="9">
        <f t="shared" si="3"/>
        <v>6.7318534475504468E-2</v>
      </c>
    </row>
    <row r="101" spans="1:15" x14ac:dyDescent="0.25">
      <c r="A101" s="6">
        <v>1015</v>
      </c>
      <c r="B101" s="11">
        <v>0.59819999999999995</v>
      </c>
      <c r="C101" s="7">
        <v>4.1999999999999997E-3</v>
      </c>
      <c r="D101" s="1">
        <v>4.2</v>
      </c>
      <c r="L101">
        <v>745</v>
      </c>
      <c r="M101" s="8">
        <f>_xll.Interpolate($A$2:$A$118,B$2:B$118,$L101)</f>
        <v>0.59822562499999998</v>
      </c>
      <c r="N101" s="8">
        <f>_xll.Interpolate($A$2:$A$118,$C$2:$C$118,$L101)</f>
        <v>4.0000000000000002E-4</v>
      </c>
      <c r="O101" s="9">
        <f t="shared" si="3"/>
        <v>6.6864404212039569E-2</v>
      </c>
    </row>
    <row r="102" spans="1:15" x14ac:dyDescent="0.25">
      <c r="A102" s="6">
        <v>1020</v>
      </c>
      <c r="B102" s="11">
        <v>0.56499999999999995</v>
      </c>
      <c r="C102" s="7">
        <v>4.4000000000000003E-3</v>
      </c>
      <c r="D102" s="1">
        <v>4.2</v>
      </c>
      <c r="L102">
        <v>750</v>
      </c>
      <c r="M102" s="8">
        <f>_xll.Interpolate($A$2:$A$118,B$2:B$118,$L102)</f>
        <v>0.60226000000000002</v>
      </c>
      <c r="N102" s="8">
        <f>_xll.Interpolate($A$2:$A$118,$C$2:$C$118,$L102)</f>
        <v>4.0000000000000002E-4</v>
      </c>
      <c r="O102" s="9">
        <f t="shared" si="3"/>
        <v>6.6416497858067941E-2</v>
      </c>
    </row>
    <row r="103" spans="1:15" x14ac:dyDescent="0.25">
      <c r="A103" s="6">
        <v>1025</v>
      </c>
      <c r="B103" s="11">
        <v>0.52849999999999997</v>
      </c>
      <c r="C103" s="7">
        <v>4.4999999999999997E-3</v>
      </c>
      <c r="D103" s="1">
        <v>4.3</v>
      </c>
      <c r="L103">
        <v>755</v>
      </c>
      <c r="M103" s="8">
        <f>_xll.Interpolate($A$2:$A$118,B$2:B$118,$L103)</f>
        <v>0.60630562499999996</v>
      </c>
      <c r="N103" s="8">
        <f>_xll.Interpolate($A$2:$A$118,$C$2:$C$118,$L103)</f>
        <v>4.04375E-4</v>
      </c>
      <c r="O103" s="9">
        <f t="shared" si="3"/>
        <v>6.6694911497811024E-2</v>
      </c>
    </row>
    <row r="104" spans="1:15" x14ac:dyDescent="0.25">
      <c r="A104" s="6">
        <v>1030</v>
      </c>
      <c r="B104" s="11">
        <v>0.48949999999999999</v>
      </c>
      <c r="C104" s="7">
        <v>4.3E-3</v>
      </c>
      <c r="D104" s="1">
        <v>4.3</v>
      </c>
      <c r="L104">
        <v>760</v>
      </c>
      <c r="M104" s="8">
        <f>_xll.Interpolate($A$2:$A$118,B$2:B$118,$L104)</f>
        <v>0.61034999999999995</v>
      </c>
      <c r="N104" s="8">
        <f>_xll.Interpolate($A$2:$A$118,$C$2:$C$118,$L104)</f>
        <v>4.0999999999999999E-4</v>
      </c>
      <c r="O104" s="9">
        <f t="shared" si="3"/>
        <v>6.717457196690424E-2</v>
      </c>
    </row>
    <row r="105" spans="1:15" x14ac:dyDescent="0.25">
      <c r="A105" s="6">
        <v>1035</v>
      </c>
      <c r="B105" s="11">
        <v>0.4491</v>
      </c>
      <c r="C105" s="7">
        <v>4.0000000000000001E-3</v>
      </c>
      <c r="D105" s="1">
        <v>4.3</v>
      </c>
      <c r="L105">
        <v>765</v>
      </c>
      <c r="M105" s="8">
        <f>_xll.Interpolate($A$2:$A$118,B$2:B$118,$L105)</f>
        <v>0.61438187499999986</v>
      </c>
      <c r="N105" s="8">
        <f>_xll.Interpolate($A$2:$A$118,$C$2:$C$118,$L105)</f>
        <v>4.1562499999999998E-4</v>
      </c>
      <c r="O105" s="9">
        <f t="shared" si="3"/>
        <v>6.7649293853273271E-2</v>
      </c>
    </row>
    <row r="106" spans="1:15" x14ac:dyDescent="0.25">
      <c r="A106" s="6">
        <v>1040</v>
      </c>
      <c r="B106" s="11">
        <v>0.40679999999999999</v>
      </c>
      <c r="C106" s="7">
        <v>3.8999999999999998E-3</v>
      </c>
      <c r="D106" s="1">
        <v>4.4000000000000004</v>
      </c>
      <c r="L106">
        <v>770</v>
      </c>
      <c r="M106" s="8">
        <f>_xll.Interpolate($A$2:$A$118,B$2:B$118,$L106)</f>
        <v>0.61841000000000002</v>
      </c>
      <c r="N106" s="8">
        <f>_xll.Interpolate($A$2:$A$118,$C$2:$C$118,$L106)</f>
        <v>4.2000000000000002E-4</v>
      </c>
      <c r="O106" s="9">
        <f t="shared" si="3"/>
        <v>6.7916107436813769E-2</v>
      </c>
    </row>
    <row r="107" spans="1:15" x14ac:dyDescent="0.25">
      <c r="A107" s="6">
        <v>1045</v>
      </c>
      <c r="B107" s="11">
        <v>0.3649</v>
      </c>
      <c r="C107" s="7">
        <v>3.7000000000000002E-3</v>
      </c>
      <c r="D107" s="1">
        <v>4.4000000000000004</v>
      </c>
      <c r="L107">
        <v>775</v>
      </c>
      <c r="M107" s="8">
        <f>_xll.Interpolate($A$2:$A$118,B$2:B$118,$L107)</f>
        <v>0.62243937499999991</v>
      </c>
      <c r="N107" s="8">
        <f>_xll.Interpolate($A$2:$A$118,$C$2:$C$118,$L107)</f>
        <v>4.2000000000000002E-4</v>
      </c>
      <c r="O107" s="9">
        <f t="shared" si="3"/>
        <v>6.7476451019828243E-2</v>
      </c>
    </row>
    <row r="108" spans="1:15" x14ac:dyDescent="0.25">
      <c r="A108" s="6">
        <v>1050</v>
      </c>
      <c r="B108" s="11">
        <v>0.32369999999999999</v>
      </c>
      <c r="C108" s="7">
        <v>3.5999999999999999E-3</v>
      </c>
      <c r="D108" s="1">
        <v>4.4000000000000004</v>
      </c>
      <c r="L108">
        <v>780</v>
      </c>
      <c r="M108" s="8">
        <f>_xll.Interpolate($A$2:$A$118,B$2:B$118,$L108)</f>
        <v>0.62646999999999997</v>
      </c>
      <c r="N108" s="8">
        <f>_xll.Interpolate($A$2:$A$118,$C$2:$C$118,$L108)</f>
        <v>4.2000000000000002E-4</v>
      </c>
      <c r="O108" s="9">
        <f t="shared" si="3"/>
        <v>6.7042316471658675E-2</v>
      </c>
    </row>
    <row r="109" spans="1:15" x14ac:dyDescent="0.25">
      <c r="A109" s="6">
        <v>1055</v>
      </c>
      <c r="B109" s="11">
        <v>0.28470000000000001</v>
      </c>
      <c r="C109" s="7">
        <v>3.5000000000000001E-3</v>
      </c>
      <c r="D109" s="1">
        <v>4.4000000000000004</v>
      </c>
      <c r="L109">
        <v>785</v>
      </c>
      <c r="M109" s="8">
        <f>_xll.Interpolate($A$2:$A$118,B$2:B$118,$L109)</f>
        <v>0.63050500000000009</v>
      </c>
      <c r="N109" s="8">
        <f>_xll.Interpolate($A$2:$A$118,$C$2:$C$118,$L109)</f>
        <v>4.2500000000000003E-4</v>
      </c>
      <c r="O109" s="9">
        <f t="shared" si="3"/>
        <v>6.7406285437863298E-2</v>
      </c>
    </row>
    <row r="110" spans="1:15" x14ac:dyDescent="0.25">
      <c r="A110" s="6">
        <v>1060</v>
      </c>
      <c r="B110" s="11">
        <v>0.24490000000000001</v>
      </c>
      <c r="C110" s="7">
        <v>3.3E-3</v>
      </c>
      <c r="D110" s="1">
        <v>4.4000000000000004</v>
      </c>
      <c r="L110">
        <v>790</v>
      </c>
      <c r="M110" s="8">
        <f>_xll.Interpolate($A$2:$A$118,B$2:B$118,$L110)</f>
        <v>0.63453999999999999</v>
      </c>
      <c r="N110" s="8">
        <f>_xll.Interpolate($A$2:$A$118,$C$2:$C$118,$L110)</f>
        <v>4.2999999999999999E-4</v>
      </c>
      <c r="O110" s="9">
        <f t="shared" si="3"/>
        <v>6.7765625492482745E-2</v>
      </c>
    </row>
    <row r="111" spans="1:15" x14ac:dyDescent="0.25">
      <c r="A111" s="6">
        <v>1065</v>
      </c>
      <c r="B111" s="11">
        <v>0.2117</v>
      </c>
      <c r="C111" s="7">
        <v>2.7000000000000001E-3</v>
      </c>
      <c r="D111" s="1">
        <v>4.4000000000000004</v>
      </c>
      <c r="L111">
        <v>795</v>
      </c>
      <c r="M111" s="8">
        <f>_xll.Interpolate($A$2:$A$118,B$2:B$118,$L111)</f>
        <v>0.63857249999999999</v>
      </c>
      <c r="N111" s="8">
        <f>_xll.Interpolate($A$2:$A$118,$C$2:$C$118,$L111)</f>
        <v>4.2999999999999999E-4</v>
      </c>
      <c r="O111" s="9">
        <f t="shared" si="3"/>
        <v>6.7337694623554878E-2</v>
      </c>
    </row>
    <row r="112" spans="1:15" x14ac:dyDescent="0.25">
      <c r="A112" s="6">
        <v>1070</v>
      </c>
      <c r="B112" s="11">
        <v>0.1883</v>
      </c>
      <c r="C112" s="7">
        <v>2.0999999999999999E-3</v>
      </c>
      <c r="D112" s="1">
        <v>4.4000000000000004</v>
      </c>
      <c r="L112">
        <v>800</v>
      </c>
      <c r="M112" s="8">
        <f>_xll.Interpolate($A$2:$A$118,B$2:B$118,$L112)</f>
        <v>0.64259999999999995</v>
      </c>
      <c r="N112" s="8">
        <f>_xll.Interpolate($A$2:$A$118,$C$2:$C$118,$L112)</f>
        <v>4.2999999999999999E-4</v>
      </c>
      <c r="O112" s="9">
        <f t="shared" si="3"/>
        <v>6.6915655150949271E-2</v>
      </c>
    </row>
    <row r="113" spans="1:15" x14ac:dyDescent="0.25">
      <c r="A113" s="6">
        <v>1075</v>
      </c>
      <c r="B113" s="11">
        <v>0.1678</v>
      </c>
      <c r="C113" s="7">
        <v>1.9E-3</v>
      </c>
      <c r="D113" s="1">
        <v>4.4000000000000004</v>
      </c>
      <c r="L113">
        <v>805</v>
      </c>
      <c r="M113" s="8">
        <f>_xll.Interpolate($A$2:$A$118,B$2:B$118,$L113)</f>
        <v>0.64661499999999994</v>
      </c>
      <c r="N113" s="8">
        <f>_xll.Interpolate($A$2:$A$118,$C$2:$C$118,$L113)</f>
        <v>4.3437499999999997E-4</v>
      </c>
      <c r="O113" s="9">
        <f t="shared" si="3"/>
        <v>6.7176758967855688E-2</v>
      </c>
    </row>
    <row r="114" spans="1:15" x14ac:dyDescent="0.25">
      <c r="A114" s="6">
        <v>1080</v>
      </c>
      <c r="B114" s="11">
        <v>0.1489</v>
      </c>
      <c r="C114" s="7">
        <v>1.8E-3</v>
      </c>
      <c r="D114" s="1">
        <v>4.4000000000000004</v>
      </c>
      <c r="L114">
        <v>810</v>
      </c>
      <c r="M114" s="8">
        <f>_xll.Interpolate($A$2:$A$118,B$2:B$118,$L114)</f>
        <v>0.65063000000000004</v>
      </c>
      <c r="N114" s="8">
        <f>_xll.Interpolate($A$2:$A$118,$C$2:$C$118,$L114)</f>
        <v>4.4000000000000002E-4</v>
      </c>
      <c r="O114" s="9">
        <f t="shared" si="3"/>
        <v>6.7626761753992279E-2</v>
      </c>
    </row>
    <row r="115" spans="1:15" x14ac:dyDescent="0.25">
      <c r="A115" s="6">
        <v>1085</v>
      </c>
      <c r="B115" s="11">
        <v>0.13189999999999999</v>
      </c>
      <c r="C115" s="7">
        <v>1.6000000000000001E-3</v>
      </c>
      <c r="D115" s="1">
        <v>4.4000000000000004</v>
      </c>
      <c r="L115">
        <v>815</v>
      </c>
      <c r="M115" s="8">
        <f>_xll.Interpolate($A$2:$A$118,B$2:B$118,$L115)</f>
        <v>0.65465875000000007</v>
      </c>
      <c r="N115" s="8">
        <f>_xll.Interpolate($A$2:$A$118,$C$2:$C$118,$L115)</f>
        <v>4.4562499999999995E-4</v>
      </c>
      <c r="O115" s="9">
        <f t="shared" si="3"/>
        <v>6.8069814999035749E-2</v>
      </c>
    </row>
    <row r="116" spans="1:15" x14ac:dyDescent="0.25">
      <c r="A116" s="6">
        <v>1090</v>
      </c>
      <c r="B116" s="11">
        <v>0.1167</v>
      </c>
      <c r="C116" s="7">
        <v>1.4E-3</v>
      </c>
      <c r="D116" s="1">
        <v>4.4000000000000004</v>
      </c>
      <c r="L116">
        <v>820</v>
      </c>
      <c r="M116" s="8">
        <f>_xll.Interpolate($A$2:$A$118,B$2:B$118,$L116)</f>
        <v>0.65869</v>
      </c>
      <c r="N116" s="8">
        <f>_xll.Interpolate($A$2:$A$118,$C$2:$C$118,$L116)</f>
        <v>4.4999999999999999E-4</v>
      </c>
      <c r="O116" s="9">
        <f t="shared" si="3"/>
        <v>6.8317417905236155E-2</v>
      </c>
    </row>
    <row r="117" spans="1:15" x14ac:dyDescent="0.25">
      <c r="A117" s="6">
        <v>1095</v>
      </c>
      <c r="B117" s="11">
        <v>0.1028</v>
      </c>
      <c r="C117" s="7">
        <v>1.2999999999999999E-3</v>
      </c>
      <c r="D117" s="1">
        <v>4.4000000000000004</v>
      </c>
      <c r="L117">
        <v>825</v>
      </c>
      <c r="M117" s="8">
        <f>_xll.Interpolate($A$2:$A$118,B$2:B$118,$L117)</f>
        <v>0.66271687499999987</v>
      </c>
      <c r="N117" s="8">
        <f>_xll.Interpolate($A$2:$A$118,$C$2:$C$118,$L117)</f>
        <v>4.5000000000000004E-4</v>
      </c>
      <c r="O117" s="9">
        <f t="shared" si="3"/>
        <v>6.7902299907483143E-2</v>
      </c>
    </row>
    <row r="118" spans="1:15" x14ac:dyDescent="0.25">
      <c r="A118" s="6">
        <v>1100</v>
      </c>
      <c r="B118" s="11">
        <v>9.0399999999999994E-2</v>
      </c>
      <c r="C118" s="7">
        <v>1.1000000000000001E-3</v>
      </c>
      <c r="D118" s="1">
        <v>4.4000000000000004</v>
      </c>
      <c r="L118">
        <v>830</v>
      </c>
      <c r="M118" s="8">
        <f>_xll.Interpolate($A$2:$A$118,B$2:B$118,$L118)</f>
        <v>0.66674</v>
      </c>
      <c r="N118" s="8">
        <f>_xll.Interpolate($A$2:$A$118,$C$2:$C$118,$L118)</f>
        <v>4.4999999999999999E-4</v>
      </c>
      <c r="O118" s="9">
        <f t="shared" si="3"/>
        <v>6.7492575816660169E-2</v>
      </c>
    </row>
    <row r="119" spans="1:15" x14ac:dyDescent="0.25">
      <c r="L119">
        <v>835</v>
      </c>
      <c r="M119" s="8">
        <f>_xll.Interpolate($A$2:$A$118,B$2:B$118,$L119)</f>
        <v>0.67075562500000008</v>
      </c>
      <c r="N119" s="8">
        <f>_xll.Interpolate($A$2:$A$118,$C$2:$C$118,$L119)</f>
        <v>4.5499999999999995E-4</v>
      </c>
      <c r="O119" s="9">
        <f t="shared" si="3"/>
        <v>6.7833944739561433E-2</v>
      </c>
    </row>
    <row r="120" spans="1:15" x14ac:dyDescent="0.25">
      <c r="L120">
        <v>840</v>
      </c>
      <c r="M120" s="8">
        <f>_xll.Interpolate($A$2:$A$118,B$2:B$118,$L120)</f>
        <v>0.67476999999999998</v>
      </c>
      <c r="N120" s="8">
        <f>_xll.Interpolate($A$2:$A$118,$C$2:$C$118,$L120)</f>
        <v>4.6000000000000001E-4</v>
      </c>
      <c r="O120" s="9">
        <f t="shared" si="3"/>
        <v>6.8171376913615009E-2</v>
      </c>
    </row>
    <row r="121" spans="1:15" x14ac:dyDescent="0.25">
      <c r="L121">
        <v>845</v>
      </c>
      <c r="M121" s="8">
        <f>_xll.Interpolate($A$2:$A$118,B$2:B$118,$L121)</f>
        <v>0.67879</v>
      </c>
      <c r="N121" s="8">
        <f>_xll.Interpolate($A$2:$A$118,$C$2:$C$118,$L121)</f>
        <v>4.6000000000000007E-4</v>
      </c>
      <c r="O121" s="9">
        <f t="shared" si="3"/>
        <v>6.7767645368965373E-2</v>
      </c>
    </row>
    <row r="122" spans="1:15" x14ac:dyDescent="0.25">
      <c r="L122">
        <v>850</v>
      </c>
      <c r="M122" s="8">
        <f>_xll.Interpolate($A$2:$A$118,B$2:B$118,$L122)</f>
        <v>0.68281000000000003</v>
      </c>
      <c r="N122" s="8">
        <f>_xll.Interpolate($A$2:$A$118,$C$2:$C$118,$L122)</f>
        <v>4.6000000000000001E-4</v>
      </c>
      <c r="O122" s="9">
        <f t="shared" si="3"/>
        <v>6.7368667711369193E-2</v>
      </c>
    </row>
    <row r="123" spans="1:15" x14ac:dyDescent="0.25">
      <c r="L123">
        <v>855</v>
      </c>
      <c r="M123" s="8">
        <f>_xll.Interpolate($A$2:$A$118,B$2:B$118,$L123)</f>
        <v>0.686825625</v>
      </c>
      <c r="N123" s="8">
        <f>_xll.Interpolate($A$2:$A$118,$C$2:$C$118,$L123)</f>
        <v>4.6437499999999994E-4</v>
      </c>
      <c r="O123" s="9">
        <f t="shared" si="3"/>
        <v>6.7611775550744768E-2</v>
      </c>
    </row>
    <row r="124" spans="1:15" x14ac:dyDescent="0.25">
      <c r="L124">
        <v>860</v>
      </c>
      <c r="M124" s="8">
        <f>_xll.Interpolate($A$2:$A$118,B$2:B$118,$L124)</f>
        <v>0.69084000000000001</v>
      </c>
      <c r="N124" s="8">
        <f>_xll.Interpolate($A$2:$A$118,$C$2:$C$118,$L124)</f>
        <v>4.6999999999999999E-4</v>
      </c>
      <c r="O124" s="9">
        <f t="shared" si="3"/>
        <v>6.8033119101383821E-2</v>
      </c>
    </row>
    <row r="125" spans="1:15" x14ac:dyDescent="0.25">
      <c r="L125">
        <v>865</v>
      </c>
      <c r="M125" s="8">
        <f>_xll.Interpolate($A$2:$A$118,B$2:B$118,$L125)</f>
        <v>0.694855</v>
      </c>
      <c r="N125" s="8">
        <f>_xll.Interpolate($A$2:$A$118,$C$2:$C$118,$L125)</f>
        <v>4.7500000000000005E-4</v>
      </c>
      <c r="O125" s="9">
        <f t="shared" si="3"/>
        <v>6.8359585812867441E-2</v>
      </c>
    </row>
    <row r="126" spans="1:15" x14ac:dyDescent="0.25">
      <c r="L126">
        <v>870</v>
      </c>
      <c r="M126" s="8">
        <f>_xll.Interpolate($A$2:$A$118,B$2:B$118,$L126)</f>
        <v>0.69886999999999999</v>
      </c>
      <c r="N126" s="8">
        <f>_xll.Interpolate($A$2:$A$118,$C$2:$C$118,$L126)</f>
        <v>4.8000000000000001E-4</v>
      </c>
      <c r="O126" s="9">
        <f t="shared" si="3"/>
        <v>6.8682301429450393E-2</v>
      </c>
    </row>
    <row r="127" spans="1:15" x14ac:dyDescent="0.25">
      <c r="L127">
        <v>875</v>
      </c>
      <c r="M127" s="8">
        <f>_xll.Interpolate($A$2:$A$118,B$2:B$118,$L127)</f>
        <v>0.70288562499999996</v>
      </c>
      <c r="N127" s="8">
        <f>_xll.Interpolate($A$2:$A$118,$C$2:$C$118,$L127)</f>
        <v>4.84375E-4</v>
      </c>
      <c r="O127" s="9">
        <f t="shared" si="3"/>
        <v>6.8912349715503154E-2</v>
      </c>
    </row>
    <row r="128" spans="1:15" x14ac:dyDescent="0.25">
      <c r="L128">
        <v>880</v>
      </c>
      <c r="M128" s="8">
        <f>_xll.Interpolate($A$2:$A$118,B$2:B$118,$L128)</f>
        <v>0.70689999999999997</v>
      </c>
      <c r="N128" s="8">
        <f>_xll.Interpolate($A$2:$A$118,$C$2:$C$118,$L128)</f>
        <v>4.8999999999999998E-4</v>
      </c>
      <c r="O128" s="9">
        <f t="shared" si="3"/>
        <v>6.9316735040316879E-2</v>
      </c>
    </row>
    <row r="129" spans="12:15" x14ac:dyDescent="0.25">
      <c r="L129">
        <v>885</v>
      </c>
      <c r="M129" s="8">
        <f>_xll.Interpolate($A$2:$A$118,B$2:B$118,$L129)</f>
        <v>0.71091249999999984</v>
      </c>
      <c r="N129" s="8">
        <f>_xll.Interpolate($A$2:$A$118,$C$2:$C$118,$L129)</f>
        <v>4.9875000000000006E-4</v>
      </c>
      <c r="O129" s="9">
        <f t="shared" si="3"/>
        <v>7.0156313189035244E-2</v>
      </c>
    </row>
    <row r="130" spans="12:15" x14ac:dyDescent="0.25">
      <c r="L130">
        <v>890</v>
      </c>
      <c r="M130" s="8">
        <f>_xll.Interpolate($A$2:$A$118,B$2:B$118,$L130)</f>
        <v>0.71492</v>
      </c>
      <c r="N130" s="8">
        <f>_xll.Interpolate($A$2:$A$118,$C$2:$C$118,$L130)</f>
        <v>5.1000000000000004E-4</v>
      </c>
      <c r="O130" s="9">
        <f t="shared" si="3"/>
        <v>7.1336653052089749E-2</v>
      </c>
    </row>
    <row r="131" spans="12:15" x14ac:dyDescent="0.25">
      <c r="L131">
        <v>895</v>
      </c>
      <c r="M131" s="8">
        <f>_xll.Interpolate($A$2:$A$118,B$2:B$118,$L131)</f>
        <v>0.71892375000000008</v>
      </c>
      <c r="N131" s="8">
        <f>_xll.Interpolate($A$2:$A$118,$C$2:$C$118,$L131)</f>
        <v>5.2250000000000007E-4</v>
      </c>
      <c r="O131" s="9">
        <f t="shared" ref="O131:O172" si="4">N131/M131*100</f>
        <v>7.2678083037317945E-2</v>
      </c>
    </row>
    <row r="132" spans="12:15" x14ac:dyDescent="0.25">
      <c r="L132">
        <v>900</v>
      </c>
      <c r="M132" s="8">
        <f>_xll.Interpolate($A$2:$A$118,B$2:B$118,$L132)</f>
        <v>0.72291000000000005</v>
      </c>
      <c r="N132" s="8">
        <f>_xll.Interpolate($A$2:$A$118,$C$2:$C$118,$L132)</f>
        <v>5.4000000000000001E-4</v>
      </c>
      <c r="O132" s="9">
        <f t="shared" si="4"/>
        <v>7.4698095198572442E-2</v>
      </c>
    </row>
    <row r="133" spans="12:15" x14ac:dyDescent="0.25">
      <c r="L133">
        <v>905</v>
      </c>
      <c r="M133" s="8">
        <f>_xll.Interpolate($A$2:$A$118,B$2:B$118,$L133)</f>
        <v>0.72688187500000012</v>
      </c>
      <c r="N133" s="8">
        <f>_xll.Interpolate($A$2:$A$118,$C$2:$C$118,$L133)</f>
        <v>5.6999999999999998E-4</v>
      </c>
      <c r="O133" s="9">
        <f t="shared" si="4"/>
        <v>7.8417143088070518E-2</v>
      </c>
    </row>
    <row r="134" spans="12:15" x14ac:dyDescent="0.25">
      <c r="L134">
        <v>910</v>
      </c>
      <c r="M134" s="8">
        <f>_xll.Interpolate($A$2:$A$118,B$2:B$118,$L134)</f>
        <v>0.73079000000000005</v>
      </c>
      <c r="N134" s="8">
        <f>_xll.Interpolate($A$2:$A$118,$C$2:$C$118,$L134)</f>
        <v>5.9999999999999995E-4</v>
      </c>
      <c r="O134" s="9">
        <f t="shared" si="4"/>
        <v>8.2102929706208347E-2</v>
      </c>
    </row>
    <row r="135" spans="12:15" x14ac:dyDescent="0.25">
      <c r="L135">
        <v>915</v>
      </c>
      <c r="M135" s="8">
        <f>_xll.Interpolate($A$2:$A$118,B$2:B$118,$L135)</f>
        <v>0.73460375</v>
      </c>
      <c r="N135" s="8">
        <f>_xll.Interpolate($A$2:$A$118,$C$2:$C$118,$L135)</f>
        <v>6.2062499999999997E-4</v>
      </c>
      <c r="O135" s="9">
        <f t="shared" si="4"/>
        <v>8.4484322330235853E-2</v>
      </c>
    </row>
    <row r="136" spans="12:15" x14ac:dyDescent="0.25">
      <c r="L136">
        <v>920</v>
      </c>
      <c r="M136" s="8">
        <f>_xll.Interpolate($A$2:$A$118,B$2:B$118,$L136)</f>
        <v>0.73826999999999998</v>
      </c>
      <c r="N136" s="8">
        <f>_xll.Interpolate($A$2:$A$118,$C$2:$C$118,$L136)</f>
        <v>6.3000000000000003E-4</v>
      </c>
      <c r="O136" s="9">
        <f t="shared" si="4"/>
        <v>8.5334633670608326E-2</v>
      </c>
    </row>
    <row r="137" spans="12:15" x14ac:dyDescent="0.25">
      <c r="L137">
        <v>925</v>
      </c>
      <c r="M137" s="8">
        <f>_xll.Interpolate($A$2:$A$118,B$2:B$118,$L137)</f>
        <v>0.74174624999999983</v>
      </c>
      <c r="N137" s="8">
        <f>_xll.Interpolate($A$2:$A$118,$C$2:$C$118,$L137)</f>
        <v>6.1312499999999995E-4</v>
      </c>
      <c r="O137" s="9">
        <f t="shared" si="4"/>
        <v>8.2659669664659596E-2</v>
      </c>
    </row>
    <row r="138" spans="12:15" x14ac:dyDescent="0.25">
      <c r="L138">
        <v>930</v>
      </c>
      <c r="M138" s="8">
        <f>_xll.Interpolate($A$2:$A$118,B$2:B$118,$L138)</f>
        <v>0.74497000000000002</v>
      </c>
      <c r="N138" s="8">
        <f>_xll.Interpolate($A$2:$A$118,$C$2:$C$118,$L138)</f>
        <v>5.9999999999999995E-4</v>
      </c>
      <c r="O138" s="9">
        <f t="shared" si="4"/>
        <v>8.054015597943541E-2</v>
      </c>
    </row>
    <row r="139" spans="12:15" x14ac:dyDescent="0.25">
      <c r="L139">
        <v>935</v>
      </c>
      <c r="M139" s="8">
        <f>_xll.Interpolate($A$2:$A$118,B$2:B$118,$L139)</f>
        <v>0.74790437500000007</v>
      </c>
      <c r="N139" s="8">
        <f>_xll.Interpolate($A$2:$A$118,$C$2:$C$118,$L139)</f>
        <v>6.1874999999999994E-4</v>
      </c>
      <c r="O139" s="9">
        <f t="shared" si="4"/>
        <v>8.2731164662594725E-2</v>
      </c>
    </row>
    <row r="140" spans="12:15" x14ac:dyDescent="0.25">
      <c r="L140">
        <v>940</v>
      </c>
      <c r="M140" s="8">
        <f>_xll.Interpolate($A$2:$A$118,B$2:B$118,$L140)</f>
        <v>0.75043000000000004</v>
      </c>
      <c r="N140" s="8">
        <f>_xll.Interpolate($A$2:$A$118,$C$2:$C$118,$L140)</f>
        <v>6.6E-4</v>
      </c>
      <c r="O140" s="9">
        <f t="shared" si="4"/>
        <v>8.7949575576669367E-2</v>
      </c>
    </row>
    <row r="141" spans="12:15" x14ac:dyDescent="0.25">
      <c r="L141">
        <v>945</v>
      </c>
      <c r="M141" s="8">
        <f>_xll.Interpolate($A$2:$A$118,B$2:B$118,$L141)</f>
        <v>0.75247270833333335</v>
      </c>
      <c r="N141" s="8">
        <f>_xll.Interpolate($A$2:$A$118,$C$2:$C$118,$L141)</f>
        <v>7.3020833333333336E-4</v>
      </c>
      <c r="O141" s="9">
        <f t="shared" si="4"/>
        <v>9.7041171758997916E-2</v>
      </c>
    </row>
    <row r="142" spans="12:15" x14ac:dyDescent="0.25">
      <c r="L142">
        <v>950</v>
      </c>
      <c r="M142" s="8">
        <f>_xll.Interpolate($A$2:$A$118,B$2:B$118,$L142)</f>
        <v>0.75386000000000009</v>
      </c>
      <c r="N142" s="8">
        <f>_xll.Interpolate($A$2:$A$118,$C$2:$C$118,$L142)</f>
        <v>8.0999999999999996E-4</v>
      </c>
      <c r="O142" s="9">
        <f t="shared" si="4"/>
        <v>0.10744700607539859</v>
      </c>
    </row>
    <row r="143" spans="12:15" x14ac:dyDescent="0.25">
      <c r="L143">
        <v>955</v>
      </c>
      <c r="M143" s="8">
        <f>_xll.Interpolate($A$2:$A$118,B$2:B$118,$L143)</f>
        <v>0.75436999999999999</v>
      </c>
      <c r="N143" s="8">
        <f>_xll.Interpolate($A$2:$A$118,$C$2:$C$118,$L143)</f>
        <v>8.8000000000000003E-4</v>
      </c>
      <c r="O143" s="9">
        <f t="shared" si="4"/>
        <v>0.11665363150708538</v>
      </c>
    </row>
    <row r="144" spans="12:15" x14ac:dyDescent="0.25">
      <c r="L144">
        <v>960</v>
      </c>
      <c r="M144" s="8">
        <f>_xll.Interpolate($A$2:$A$118,B$2:B$118,$L144)</f>
        <v>0.75375000000000003</v>
      </c>
      <c r="N144" s="8">
        <f>_xll.Interpolate($A$2:$A$118,$C$2:$C$118,$L144)</f>
        <v>8.8999999999999995E-4</v>
      </c>
      <c r="O144" s="9">
        <f t="shared" si="4"/>
        <v>0.11807628524046433</v>
      </c>
    </row>
    <row r="145" spans="12:15" x14ac:dyDescent="0.25">
      <c r="L145">
        <v>965</v>
      </c>
      <c r="M145" s="8">
        <f>_xll.Interpolate($A$2:$A$118,B$2:B$118,$L145)</f>
        <v>0.75175000000000003</v>
      </c>
      <c r="N145" s="8">
        <f>_xll.Interpolate($A$2:$A$118,$C$2:$C$118,$L145)</f>
        <v>8.8000000000000003E-4</v>
      </c>
      <c r="O145" s="9">
        <f t="shared" si="4"/>
        <v>0.11706019288327237</v>
      </c>
    </row>
    <row r="146" spans="12:15" x14ac:dyDescent="0.25">
      <c r="L146">
        <v>970</v>
      </c>
      <c r="M146" s="8">
        <f>_xll.Interpolate($A$2:$A$118,B$2:B$118,$L146)</f>
        <v>0.74807000000000001</v>
      </c>
      <c r="N146" s="8">
        <f>_xll.Interpolate($A$2:$A$118,$C$2:$C$118,$L146)</f>
        <v>9.1E-4</v>
      </c>
      <c r="O146" s="9">
        <f t="shared" si="4"/>
        <v>0.12164636999211302</v>
      </c>
    </row>
    <row r="147" spans="12:15" x14ac:dyDescent="0.25">
      <c r="L147">
        <v>975</v>
      </c>
      <c r="M147" s="8">
        <f>_xll.Interpolate($A$2:$A$118,B$2:B$118,$L147)</f>
        <v>0.74239999999999995</v>
      </c>
      <c r="N147" s="8">
        <f>_xll.Interpolate($A$2:$A$118,$C$2:$C$118,$L147)</f>
        <v>1E-3</v>
      </c>
      <c r="O147" s="9">
        <f t="shared" si="4"/>
        <v>0.13469827586206898</v>
      </c>
    </row>
    <row r="148" spans="12:15" x14ac:dyDescent="0.25">
      <c r="L148">
        <v>980</v>
      </c>
      <c r="M148" s="8">
        <f>_xll.Interpolate($A$2:$A$118,B$2:B$118,$L148)</f>
        <v>0.73470000000000002</v>
      </c>
      <c r="N148" s="8">
        <f>_xll.Interpolate($A$2:$A$118,$C$2:$C$118,$L148)</f>
        <v>1.1000000000000001E-3</v>
      </c>
      <c r="O148" s="9">
        <f t="shared" si="4"/>
        <v>0.14972097454743433</v>
      </c>
    </row>
    <row r="149" spans="12:15" x14ac:dyDescent="0.25">
      <c r="L149">
        <v>985</v>
      </c>
      <c r="M149" s="8">
        <f>_xll.Interpolate($A$2:$A$118,B$2:B$118,$L149)</f>
        <v>0.72440000000000004</v>
      </c>
      <c r="N149" s="8">
        <f>_xll.Interpolate($A$2:$A$118,$C$2:$C$118,$L149)</f>
        <v>1.2999999999999999E-3</v>
      </c>
      <c r="O149" s="9">
        <f t="shared" si="4"/>
        <v>0.17945886250690227</v>
      </c>
    </row>
    <row r="150" spans="12:15" x14ac:dyDescent="0.25">
      <c r="L150">
        <v>990</v>
      </c>
      <c r="M150" s="8">
        <f>_xll.Interpolate($A$2:$A$118,B$2:B$118,$L150)</f>
        <v>0.71160000000000001</v>
      </c>
      <c r="N150" s="8">
        <f>_xll.Interpolate($A$2:$A$118,$C$2:$C$118,$L150)</f>
        <v>1.5E-3</v>
      </c>
      <c r="O150" s="9">
        <f t="shared" si="4"/>
        <v>0.21079258010118043</v>
      </c>
    </row>
    <row r="151" spans="12:15" x14ac:dyDescent="0.25">
      <c r="L151">
        <v>995</v>
      </c>
      <c r="M151" s="8">
        <f>_xll.Interpolate($A$2:$A$118,B$2:B$118,$L151)</f>
        <v>0.69569999999999999</v>
      </c>
      <c r="N151" s="8">
        <f>_xll.Interpolate($A$2:$A$118,$C$2:$C$118,$L151)</f>
        <v>1.6000000000000001E-3</v>
      </c>
      <c r="O151" s="9">
        <f t="shared" si="4"/>
        <v>0.22998418858703468</v>
      </c>
    </row>
    <row r="152" spans="12:15" x14ac:dyDescent="0.25">
      <c r="L152">
        <v>1000</v>
      </c>
      <c r="M152" s="8">
        <f>_xll.Interpolate($A$2:$A$118,B$2:B$118,$L152)</f>
        <v>0.67659999999999998</v>
      </c>
      <c r="N152" s="8">
        <f>_xll.Interpolate($A$2:$A$118,$C$2:$C$118,$L152)</f>
        <v>1.6999999999999999E-3</v>
      </c>
      <c r="O152" s="9">
        <f t="shared" si="4"/>
        <v>0.25125628140703515</v>
      </c>
    </row>
    <row r="153" spans="12:15" x14ac:dyDescent="0.25">
      <c r="L153">
        <v>1005</v>
      </c>
      <c r="M153" s="8">
        <f>_xll.Interpolate($A$2:$A$118,B$2:B$118,$L153)</f>
        <v>0.65480000000000005</v>
      </c>
      <c r="N153" s="8">
        <f>_xll.Interpolate($A$2:$A$118,$C$2:$C$118,$L153)</f>
        <v>4.1999999999999997E-3</v>
      </c>
      <c r="O153" s="9">
        <f t="shared" si="4"/>
        <v>0.64141722663408673</v>
      </c>
    </row>
    <row r="154" spans="12:15" x14ac:dyDescent="0.25">
      <c r="L154">
        <v>1010</v>
      </c>
      <c r="M154" s="8">
        <f>_xll.Interpolate($A$2:$A$118,B$2:B$118,$L154)</f>
        <v>0.62809999999999999</v>
      </c>
      <c r="N154" s="8">
        <f>_xll.Interpolate($A$2:$A$118,$C$2:$C$118,$L154)</f>
        <v>4.1999999999999997E-3</v>
      </c>
      <c r="O154" s="9">
        <f t="shared" si="4"/>
        <v>0.66868333067982799</v>
      </c>
    </row>
    <row r="155" spans="12:15" x14ac:dyDescent="0.25">
      <c r="L155">
        <v>1015</v>
      </c>
      <c r="M155" s="8">
        <f>_xll.Interpolate($A$2:$A$118,B$2:B$118,$L155)</f>
        <v>0.59819999999999995</v>
      </c>
      <c r="N155" s="8">
        <f>_xll.Interpolate($A$2:$A$118,$C$2:$C$118,$L155)</f>
        <v>4.1999999999999997E-3</v>
      </c>
      <c r="O155" s="9">
        <f t="shared" si="4"/>
        <v>0.70210631895687059</v>
      </c>
    </row>
    <row r="156" spans="12:15" x14ac:dyDescent="0.25">
      <c r="L156">
        <v>1020</v>
      </c>
      <c r="M156" s="8">
        <f>_xll.Interpolate($A$2:$A$118,B$2:B$118,$L156)</f>
        <v>0.56499999999999995</v>
      </c>
      <c r="N156" s="8">
        <f>_xll.Interpolate($A$2:$A$118,$C$2:$C$118,$L156)</f>
        <v>4.4000000000000003E-3</v>
      </c>
      <c r="O156" s="9">
        <f t="shared" si="4"/>
        <v>0.77876106194690276</v>
      </c>
    </row>
    <row r="157" spans="12:15" x14ac:dyDescent="0.25">
      <c r="L157">
        <v>1025</v>
      </c>
      <c r="M157" s="8">
        <f>_xll.Interpolate($A$2:$A$118,B$2:B$118,$L157)</f>
        <v>0.52849999999999997</v>
      </c>
      <c r="N157" s="8">
        <f>_xll.Interpolate($A$2:$A$118,$C$2:$C$118,$L157)</f>
        <v>4.4999999999999997E-3</v>
      </c>
      <c r="O157" s="9">
        <f t="shared" si="4"/>
        <v>0.85146641438032156</v>
      </c>
    </row>
    <row r="158" spans="12:15" x14ac:dyDescent="0.25">
      <c r="L158">
        <v>1030</v>
      </c>
      <c r="M158" s="8">
        <f>_xll.Interpolate($A$2:$A$118,B$2:B$118,$L158)</f>
        <v>0.48949999999999999</v>
      </c>
      <c r="N158" s="8">
        <f>_xll.Interpolate($A$2:$A$118,$C$2:$C$118,$L158)</f>
        <v>4.3E-3</v>
      </c>
      <c r="O158" s="9">
        <f t="shared" si="4"/>
        <v>0.87844739530132787</v>
      </c>
    </row>
    <row r="159" spans="12:15" x14ac:dyDescent="0.25">
      <c r="L159">
        <v>1035</v>
      </c>
      <c r="M159" s="8">
        <f>_xll.Interpolate($A$2:$A$118,B$2:B$118,$L159)</f>
        <v>0.4491</v>
      </c>
      <c r="N159" s="8">
        <f>_xll.Interpolate($A$2:$A$118,$C$2:$C$118,$L159)</f>
        <v>4.0000000000000001E-3</v>
      </c>
      <c r="O159" s="9">
        <f t="shared" si="4"/>
        <v>0.89067022934758411</v>
      </c>
    </row>
    <row r="160" spans="12:15" x14ac:dyDescent="0.25">
      <c r="L160">
        <v>1040</v>
      </c>
      <c r="M160" s="8">
        <f>_xll.Interpolate($A$2:$A$118,B$2:B$118,$L160)</f>
        <v>0.40679999999999999</v>
      </c>
      <c r="N160" s="8">
        <f>_xll.Interpolate($A$2:$A$118,$C$2:$C$118,$L160)</f>
        <v>3.8999999999999998E-3</v>
      </c>
      <c r="O160" s="9">
        <f t="shared" si="4"/>
        <v>0.95870206489675514</v>
      </c>
    </row>
    <row r="161" spans="12:15" x14ac:dyDescent="0.25">
      <c r="L161">
        <v>1045</v>
      </c>
      <c r="M161" s="8">
        <f>_xll.Interpolate($A$2:$A$118,B$2:B$118,$L161)</f>
        <v>0.3649</v>
      </c>
      <c r="N161" s="8">
        <f>_xll.Interpolate($A$2:$A$118,$C$2:$C$118,$L161)</f>
        <v>3.7000000000000002E-3</v>
      </c>
      <c r="O161" s="9">
        <f t="shared" si="4"/>
        <v>1.0139764318991504</v>
      </c>
    </row>
    <row r="162" spans="12:15" x14ac:dyDescent="0.25">
      <c r="L162">
        <v>1050</v>
      </c>
      <c r="M162" s="8">
        <f>_xll.Interpolate($A$2:$A$118,B$2:B$118,$L162)</f>
        <v>0.32369999999999999</v>
      </c>
      <c r="N162" s="8">
        <f>_xll.Interpolate($A$2:$A$118,$C$2:$C$118,$L162)</f>
        <v>3.5999999999999999E-3</v>
      </c>
      <c r="O162" s="9">
        <f t="shared" si="4"/>
        <v>1.1121408711770158</v>
      </c>
    </row>
    <row r="163" spans="12:15" x14ac:dyDescent="0.25">
      <c r="L163">
        <v>1055</v>
      </c>
      <c r="M163" s="8">
        <f>_xll.Interpolate($A$2:$A$118,B$2:B$118,$L163)</f>
        <v>0.28470000000000001</v>
      </c>
      <c r="N163" s="8">
        <f>_xll.Interpolate($A$2:$A$118,$C$2:$C$118,$L163)</f>
        <v>3.5000000000000001E-3</v>
      </c>
      <c r="O163" s="9">
        <f t="shared" si="4"/>
        <v>1.2293642430628731</v>
      </c>
    </row>
    <row r="164" spans="12:15" x14ac:dyDescent="0.25">
      <c r="L164">
        <v>1060</v>
      </c>
      <c r="M164" s="8">
        <f>_xll.Interpolate($A$2:$A$118,B$2:B$118,$L164)</f>
        <v>0.24490000000000001</v>
      </c>
      <c r="N164" s="8">
        <f>_xll.Interpolate($A$2:$A$118,$C$2:$C$118,$L164)</f>
        <v>3.3E-3</v>
      </c>
      <c r="O164" s="9">
        <f t="shared" si="4"/>
        <v>1.347488770926909</v>
      </c>
    </row>
    <row r="165" spans="12:15" x14ac:dyDescent="0.25">
      <c r="L165">
        <v>1065</v>
      </c>
      <c r="M165" s="8">
        <f>_xll.Interpolate($A$2:$A$118,B$2:B$118,$L165)</f>
        <v>0.2117</v>
      </c>
      <c r="N165" s="8">
        <f>_xll.Interpolate($A$2:$A$118,$C$2:$C$118,$L165)</f>
        <v>2.7000000000000001E-3</v>
      </c>
      <c r="O165" s="9">
        <f t="shared" si="4"/>
        <v>1.2753897024090695</v>
      </c>
    </row>
    <row r="166" spans="12:15" x14ac:dyDescent="0.25">
      <c r="L166">
        <v>1070</v>
      </c>
      <c r="M166" s="8">
        <f>_xll.Interpolate($A$2:$A$118,B$2:B$118,$L166)</f>
        <v>0.1883</v>
      </c>
      <c r="N166" s="8">
        <f>_xll.Interpolate($A$2:$A$118,$C$2:$C$118,$L166)</f>
        <v>2.0999999999999999E-3</v>
      </c>
      <c r="O166" s="9">
        <f t="shared" si="4"/>
        <v>1.1152416356877324</v>
      </c>
    </row>
    <row r="167" spans="12:15" x14ac:dyDescent="0.25">
      <c r="L167">
        <v>1075</v>
      </c>
      <c r="M167" s="8">
        <f>_xll.Interpolate($A$2:$A$118,B$2:B$118,$L167)</f>
        <v>0.1678</v>
      </c>
      <c r="N167" s="8">
        <f>_xll.Interpolate($A$2:$A$118,$C$2:$C$118,$L167)</f>
        <v>1.9E-3</v>
      </c>
      <c r="O167" s="9">
        <f t="shared" si="4"/>
        <v>1.132300357568534</v>
      </c>
    </row>
    <row r="168" spans="12:15" x14ac:dyDescent="0.25">
      <c r="L168">
        <v>1080</v>
      </c>
      <c r="M168" s="8">
        <f>_xll.Interpolate($A$2:$A$118,B$2:B$118,$L168)</f>
        <v>0.1489</v>
      </c>
      <c r="N168" s="8">
        <f>_xll.Interpolate($A$2:$A$118,$C$2:$C$118,$L168)</f>
        <v>1.8E-3</v>
      </c>
      <c r="O168" s="9">
        <f t="shared" si="4"/>
        <v>1.2088650100738749</v>
      </c>
    </row>
    <row r="169" spans="12:15" x14ac:dyDescent="0.25">
      <c r="L169">
        <v>1085</v>
      </c>
      <c r="M169" s="8">
        <f>_xll.Interpolate($A$2:$A$118,B$2:B$118,$L169)</f>
        <v>0.13189999999999999</v>
      </c>
      <c r="N169" s="8">
        <f>_xll.Interpolate($A$2:$A$118,$C$2:$C$118,$L169)</f>
        <v>1.6000000000000001E-3</v>
      </c>
      <c r="O169" s="9">
        <f t="shared" si="4"/>
        <v>1.2130401819560275</v>
      </c>
    </row>
    <row r="170" spans="12:15" x14ac:dyDescent="0.25">
      <c r="L170">
        <v>1090</v>
      </c>
      <c r="M170" s="8">
        <f>_xll.Interpolate($A$2:$A$118,B$2:B$118,$L170)</f>
        <v>0.1167</v>
      </c>
      <c r="N170" s="8">
        <f>_xll.Interpolate($A$2:$A$118,$C$2:$C$118,$L170)</f>
        <v>1.4E-3</v>
      </c>
      <c r="O170" s="9">
        <f t="shared" si="4"/>
        <v>1.1996572407883461</v>
      </c>
    </row>
    <row r="171" spans="12:15" x14ac:dyDescent="0.25">
      <c r="L171">
        <v>1095</v>
      </c>
      <c r="M171" s="8">
        <f>_xll.Interpolate($A$2:$A$118,B$2:B$118,$L171)</f>
        <v>0.1028</v>
      </c>
      <c r="N171" s="8">
        <f>_xll.Interpolate($A$2:$A$118,$C$2:$C$118,$L171)</f>
        <v>1.2999999999999999E-3</v>
      </c>
      <c r="O171" s="9">
        <f t="shared" si="4"/>
        <v>1.2645914396887159</v>
      </c>
    </row>
    <row r="172" spans="12:15" x14ac:dyDescent="0.25">
      <c r="L172">
        <v>1100</v>
      </c>
      <c r="M172" s="8">
        <f>_xll.Interpolate($A$2:$A$118,B$2:B$118,$L172)</f>
        <v>9.0399999999999994E-2</v>
      </c>
      <c r="N172" s="8">
        <f>_xll.Interpolate($A$2:$A$118,$C$2:$C$118,$L172)</f>
        <v>1.1000000000000001E-3</v>
      </c>
      <c r="O172" s="9">
        <f t="shared" si="4"/>
        <v>1.2168141592920356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0"/>
  <dimension ref="A1:O91"/>
  <sheetViews>
    <sheetView workbookViewId="0">
      <selection activeCell="A3" sqref="A3"/>
    </sheetView>
  </sheetViews>
  <sheetFormatPr baseColWidth="10" defaultRowHeight="12.75" x14ac:dyDescent="0.2"/>
  <cols>
    <col min="1" max="2" width="11.42578125" style="2"/>
    <col min="3" max="4" width="11.42578125" style="3"/>
    <col min="5" max="16384" width="11.42578125" style="2"/>
  </cols>
  <sheetData>
    <row r="1" spans="1:15" x14ac:dyDescent="0.2">
      <c r="C1" s="3" t="s">
        <v>5</v>
      </c>
      <c r="M1" s="2" t="s">
        <v>6</v>
      </c>
    </row>
    <row r="2" spans="1:15" x14ac:dyDescent="0.2">
      <c r="C2" s="3" t="s">
        <v>7</v>
      </c>
      <c r="M2" s="2" t="s">
        <v>8</v>
      </c>
      <c r="N2" s="2">
        <v>1.60217653E-19</v>
      </c>
      <c r="O2" s="2" t="s">
        <v>9</v>
      </c>
    </row>
    <row r="3" spans="1:15" x14ac:dyDescent="0.2">
      <c r="M3" s="2" t="s">
        <v>10</v>
      </c>
      <c r="N3" s="2">
        <v>6.6260693000000002E-34</v>
      </c>
      <c r="O3" s="2" t="s">
        <v>11</v>
      </c>
    </row>
    <row r="4" spans="1:15" x14ac:dyDescent="0.2">
      <c r="A4" s="2" t="s">
        <v>12</v>
      </c>
      <c r="M4" s="2" t="s">
        <v>13</v>
      </c>
      <c r="N4" s="2">
        <v>299792458</v>
      </c>
      <c r="O4" s="2" t="s">
        <v>14</v>
      </c>
    </row>
    <row r="5" spans="1:15" x14ac:dyDescent="0.2">
      <c r="A5" s="2">
        <v>240</v>
      </c>
      <c r="B5" s="2">
        <f t="shared" ref="B5:B68" si="0">A5*$N$7</f>
        <v>0.1935730667630047</v>
      </c>
    </row>
    <row r="6" spans="1:15" x14ac:dyDescent="0.2">
      <c r="A6" s="10">
        <f>'73321 23 PTB'!G2</f>
        <v>250</v>
      </c>
      <c r="B6" s="10">
        <f>A6*$N$7</f>
        <v>0.20163861121146323</v>
      </c>
      <c r="C6" s="3">
        <f>'73321 23 PTB'!H2/B6-1</f>
        <v>6.4825822346239459E-2</v>
      </c>
      <c r="M6" s="2" t="s">
        <v>15</v>
      </c>
      <c r="N6" s="2">
        <v>806554.44484585291</v>
      </c>
      <c r="O6" s="2" t="s">
        <v>16</v>
      </c>
    </row>
    <row r="7" spans="1:15" x14ac:dyDescent="0.2">
      <c r="A7" s="2">
        <f>'73321 23 PTB'!G3</f>
        <v>260</v>
      </c>
      <c r="B7" s="2">
        <f t="shared" si="0"/>
        <v>0.20970415565992176</v>
      </c>
      <c r="C7" s="3">
        <f>'73321 23 PTB'!H3/B7-1</f>
        <v>4.9395508487590778E-3</v>
      </c>
      <c r="N7" s="2">
        <v>8.0655444484585288E-4</v>
      </c>
      <c r="O7" s="2" t="s">
        <v>17</v>
      </c>
    </row>
    <row r="8" spans="1:15" x14ac:dyDescent="0.2">
      <c r="A8" s="2">
        <f>'73321 23 PTB'!G4</f>
        <v>270</v>
      </c>
      <c r="B8" s="2">
        <f t="shared" ref="B8" si="1">A8*$N$7</f>
        <v>0.21776970010838029</v>
      </c>
      <c r="C8" s="3">
        <f>'73321 23 PTB'!H4/B8-1</f>
        <v>-5.372510547866638E-2</v>
      </c>
      <c r="N8" s="2">
        <v>0.80655444484585292</v>
      </c>
      <c r="O8" s="2" t="s">
        <v>18</v>
      </c>
    </row>
    <row r="9" spans="1:15" x14ac:dyDescent="0.2">
      <c r="A9" s="2">
        <f>'73321 23 PTB'!G5</f>
        <v>280</v>
      </c>
      <c r="B9" s="2">
        <f t="shared" si="0"/>
        <v>0.22583524455683882</v>
      </c>
      <c r="C9" s="3">
        <f>'73321 23 PTB'!H5/B9-1</f>
        <v>-5.8561472912658008E-2</v>
      </c>
      <c r="N9" s="2">
        <v>1.239841905763867</v>
      </c>
      <c r="O9" s="2" t="s">
        <v>19</v>
      </c>
    </row>
    <row r="10" spans="1:15" x14ac:dyDescent="0.2">
      <c r="A10" s="2">
        <f>'73321 23 PTB'!G6</f>
        <v>290</v>
      </c>
      <c r="B10" s="2">
        <f t="shared" ref="B10" si="2">A10*$N$7</f>
        <v>0.23390078900529734</v>
      </c>
      <c r="C10" s="3">
        <f>'73321 23 PTB'!H6/B10-1</f>
        <v>-2.8348724403606695E-2</v>
      </c>
      <c r="N10" s="2">
        <v>8.1160100000000001E-4</v>
      </c>
    </row>
    <row r="11" spans="1:15" x14ac:dyDescent="0.2">
      <c r="A11" s="2">
        <f>'73321 23 PTB'!G7</f>
        <v>300</v>
      </c>
      <c r="B11" s="2">
        <f t="shared" si="0"/>
        <v>0.24196633345375587</v>
      </c>
      <c r="C11" s="3">
        <f>'73321 23 PTB'!H7/B11-1</f>
        <v>-3.3088625758285639E-2</v>
      </c>
    </row>
    <row r="12" spans="1:15" x14ac:dyDescent="0.2">
      <c r="A12" s="2">
        <f>'73321 23 PTB'!G8</f>
        <v>310</v>
      </c>
      <c r="B12" s="2">
        <f t="shared" si="0"/>
        <v>0.25003187790221437</v>
      </c>
      <c r="C12" s="3">
        <f>'73321 23 PTB'!H8/B12-1</f>
        <v>-4.776142147316409E-2</v>
      </c>
    </row>
    <row r="13" spans="1:15" x14ac:dyDescent="0.2">
      <c r="A13" s="2">
        <f>'73321 23 PTB'!G9</f>
        <v>320</v>
      </c>
      <c r="B13" s="2">
        <f t="shared" si="0"/>
        <v>0.2580974223506729</v>
      </c>
      <c r="C13" s="3">
        <f>'73321 23 PTB'!H9/B13-1</f>
        <v>-5.9269954001665903E-2</v>
      </c>
    </row>
    <row r="14" spans="1:15" x14ac:dyDescent="0.2">
      <c r="A14" s="2">
        <f>'73321 23 PTB'!G10</f>
        <v>330</v>
      </c>
      <c r="B14" s="2">
        <f t="shared" si="0"/>
        <v>0.26616296679913143</v>
      </c>
      <c r="C14" s="3">
        <f>'73321 23 PTB'!H10/B14-1</f>
        <v>-6.5873051424029438E-2</v>
      </c>
    </row>
    <row r="15" spans="1:15" x14ac:dyDescent="0.2">
      <c r="A15" s="2">
        <f>'73321 23 PTB'!G11</f>
        <v>340</v>
      </c>
      <c r="B15" s="2">
        <f t="shared" si="0"/>
        <v>0.27422851124758996</v>
      </c>
      <c r="C15" s="3">
        <f>'73321 23 PTB'!H11/B15-1</f>
        <v>-6.9170456278574433E-2</v>
      </c>
    </row>
    <row r="16" spans="1:15" x14ac:dyDescent="0.2">
      <c r="A16" s="2">
        <f>'73321 23 PTB'!G12</f>
        <v>350</v>
      </c>
      <c r="B16" s="2">
        <f t="shared" si="0"/>
        <v>0.28229405569604848</v>
      </c>
      <c r="C16" s="3">
        <f>'73321 23 PTB'!H12/B16-1</f>
        <v>-7.3413007740986469E-2</v>
      </c>
    </row>
    <row r="17" spans="1:5" x14ac:dyDescent="0.2">
      <c r="A17" s="2">
        <f>'73321 23 PTB'!G13</f>
        <v>360</v>
      </c>
      <c r="B17" s="2">
        <f t="shared" si="0"/>
        <v>0.29035960014450701</v>
      </c>
      <c r="C17" s="3">
        <f>'73321 23 PTB'!H13/B17-1</f>
        <v>-8.0863867193719852E-2</v>
      </c>
    </row>
    <row r="18" spans="1:5" x14ac:dyDescent="0.2">
      <c r="A18" s="2">
        <f>'73321 23 PTB'!G14</f>
        <v>370</v>
      </c>
      <c r="B18" s="2">
        <f t="shared" si="0"/>
        <v>0.29842514459296554</v>
      </c>
      <c r="C18" s="3">
        <f>'73321 23 PTB'!H14/B18-1</f>
        <v>-8.3957887084680105E-2</v>
      </c>
    </row>
    <row r="19" spans="1:5" x14ac:dyDescent="0.2">
      <c r="A19" s="2">
        <f>'73321 23 PTB'!G15</f>
        <v>380</v>
      </c>
      <c r="B19" s="2">
        <f t="shared" si="0"/>
        <v>0.30649068904142407</v>
      </c>
      <c r="C19" s="3">
        <f>'73321 23 PTB'!H15/B19-1</f>
        <v>-7.3348685115800283E-2</v>
      </c>
    </row>
    <row r="20" spans="1:5" x14ac:dyDescent="0.2">
      <c r="A20" s="2">
        <f>'73321 23 PTB'!G16</f>
        <v>390</v>
      </c>
      <c r="B20" s="2">
        <f t="shared" si="0"/>
        <v>0.3145562334898826</v>
      </c>
      <c r="C20" s="3">
        <f>'73321 23 PTB'!H16/B20-1</f>
        <v>-6.0295207885278201E-2</v>
      </c>
    </row>
    <row r="21" spans="1:5" x14ac:dyDescent="0.2">
      <c r="A21" s="2">
        <f>'73321 23 PTB'!G17</f>
        <v>400</v>
      </c>
      <c r="B21" s="2">
        <f t="shared" si="0"/>
        <v>0.32262177793834113</v>
      </c>
      <c r="C21" s="3">
        <f>'73321 23 PTB'!H17/B21-1</f>
        <v>-5.0839029042471506E-2</v>
      </c>
    </row>
    <row r="22" spans="1:5" x14ac:dyDescent="0.2">
      <c r="A22" s="2">
        <f>'73321 23 PTB'!G18</f>
        <v>410</v>
      </c>
      <c r="B22" s="2">
        <f t="shared" si="0"/>
        <v>0.33068732238679965</v>
      </c>
      <c r="C22" s="3">
        <f>'73321 23 PTB'!H18/B22-1</f>
        <v>-4.2176767727689524E-2</v>
      </c>
    </row>
    <row r="23" spans="1:5" x14ac:dyDescent="0.2">
      <c r="A23" s="2">
        <f>'73321 23 PTB'!G19</f>
        <v>420</v>
      </c>
      <c r="B23" s="2">
        <f t="shared" si="0"/>
        <v>0.33875286683525818</v>
      </c>
      <c r="C23" s="3">
        <f>'73321 23 PTB'!H19/B23-1</f>
        <v>-3.5904838087091995E-2</v>
      </c>
    </row>
    <row r="24" spans="1:5" x14ac:dyDescent="0.2">
      <c r="A24" s="2">
        <f>'73321 23 PTB'!G20</f>
        <v>430</v>
      </c>
      <c r="B24" s="2">
        <f t="shared" si="0"/>
        <v>0.34681841128371677</v>
      </c>
      <c r="C24" s="3">
        <f>'73321 23 PTB'!H20/B24-1</f>
        <v>-3.1366302738805918E-2</v>
      </c>
    </row>
    <row r="25" spans="1:5" x14ac:dyDescent="0.2">
      <c r="A25" s="2">
        <f>'73321 23 PTB'!G21</f>
        <v>440</v>
      </c>
      <c r="B25" s="2">
        <f t="shared" si="0"/>
        <v>0.35488395573217529</v>
      </c>
      <c r="C25" s="3">
        <f>'73321 23 PTB'!H21/B25-1</f>
        <v>-2.7738520080080376E-2</v>
      </c>
    </row>
    <row r="26" spans="1:5" x14ac:dyDescent="0.2">
      <c r="A26" s="2">
        <f>'73321 23 PTB'!G22</f>
        <v>450</v>
      </c>
      <c r="B26" s="2">
        <f t="shared" si="0"/>
        <v>0.36294950018063382</v>
      </c>
      <c r="C26" s="3">
        <f>'73321 23 PTB'!H22/B26-1</f>
        <v>-2.4630148756741077E-2</v>
      </c>
      <c r="D26" s="3">
        <v>-0.01</v>
      </c>
      <c r="E26" s="2">
        <v>0</v>
      </c>
    </row>
    <row r="27" spans="1:5" x14ac:dyDescent="0.2">
      <c r="A27" s="2">
        <f>'73321 23 PTB'!G23</f>
        <v>460</v>
      </c>
      <c r="B27" s="2">
        <f t="shared" si="0"/>
        <v>0.37101504462909235</v>
      </c>
      <c r="C27" s="3">
        <f>'73321 23 PTB'!H23/B27-1</f>
        <v>-2.1872548691940663E-2</v>
      </c>
      <c r="D27" s="3">
        <v>-8.9999999999999993E-3</v>
      </c>
      <c r="E27" s="2">
        <v>0</v>
      </c>
    </row>
    <row r="28" spans="1:5" x14ac:dyDescent="0.2">
      <c r="A28" s="2">
        <f>'73321 23 PTB'!G24</f>
        <v>470</v>
      </c>
      <c r="B28" s="2">
        <f t="shared" si="0"/>
        <v>0.37908058907755088</v>
      </c>
      <c r="C28" s="3">
        <f>'73321 23 PTB'!H24/B28-1</f>
        <v>-1.9496089460911192E-2</v>
      </c>
      <c r="D28" s="3">
        <v>-8.0000000000000002E-3</v>
      </c>
      <c r="E28" s="2">
        <v>0</v>
      </c>
    </row>
    <row r="29" spans="1:5" x14ac:dyDescent="0.2">
      <c r="A29" s="2">
        <f>'73321 23 PTB'!G25</f>
        <v>480</v>
      </c>
      <c r="B29" s="2">
        <f t="shared" si="0"/>
        <v>0.38714613352600941</v>
      </c>
      <c r="C29" s="3">
        <f>'73321 23 PTB'!H25/B29-1</f>
        <v>-1.7347799563025235E-2</v>
      </c>
      <c r="D29" s="3">
        <v>-7.0000000000000001E-3</v>
      </c>
      <c r="E29" s="2">
        <v>0</v>
      </c>
    </row>
    <row r="30" spans="1:5" x14ac:dyDescent="0.2">
      <c r="A30" s="2">
        <f>'73321 23 PTB'!G26</f>
        <v>490</v>
      </c>
      <c r="B30" s="2">
        <f t="shared" si="0"/>
        <v>0.39521167797446793</v>
      </c>
      <c r="C30" s="3">
        <f>'73321 23 PTB'!H26/B30-1</f>
        <v>-1.5590829719525634E-2</v>
      </c>
      <c r="D30" s="3">
        <v>-6.0000000000000001E-3</v>
      </c>
      <c r="E30" s="2">
        <v>0</v>
      </c>
    </row>
    <row r="31" spans="1:5" x14ac:dyDescent="0.2">
      <c r="A31" s="2">
        <f>'73321 23 PTB'!G27</f>
        <v>500</v>
      </c>
      <c r="B31" s="2">
        <f t="shared" si="0"/>
        <v>0.40327722242292646</v>
      </c>
      <c r="C31" s="3">
        <f>'73321 23 PTB'!H27/B31-1</f>
        <v>-1.4003326022227203E-2</v>
      </c>
      <c r="D31" s="3">
        <v>-5.0000000000000001E-3</v>
      </c>
      <c r="E31" s="2">
        <v>0</v>
      </c>
    </row>
    <row r="32" spans="1:5" x14ac:dyDescent="0.2">
      <c r="A32" s="2">
        <f>'73321 23 PTB'!G28</f>
        <v>510</v>
      </c>
      <c r="B32" s="2">
        <f t="shared" si="0"/>
        <v>0.41134276687138499</v>
      </c>
      <c r="C32" s="3">
        <f>'73321 23 PTB'!H28/B32-1</f>
        <v>-1.267256237670733E-2</v>
      </c>
      <c r="D32" s="3">
        <v>-5.0000000000000001E-3</v>
      </c>
      <c r="E32" s="2">
        <v>0</v>
      </c>
    </row>
    <row r="33" spans="1:5" x14ac:dyDescent="0.2">
      <c r="A33" s="2">
        <f>'73321 23 PTB'!G29</f>
        <v>520</v>
      </c>
      <c r="B33" s="2">
        <f t="shared" si="0"/>
        <v>0.41940831131984352</v>
      </c>
      <c r="C33" s="3">
        <f>'73321 23 PTB'!H29/B33-1</f>
        <v>-1.1583726856901899E-2</v>
      </c>
      <c r="D33" s="3">
        <v>-5.0000000000000001E-3</v>
      </c>
      <c r="E33" s="2">
        <v>0</v>
      </c>
    </row>
    <row r="34" spans="1:5" x14ac:dyDescent="0.2">
      <c r="A34" s="2">
        <f>'73321 23 PTB'!G30</f>
        <v>530</v>
      </c>
      <c r="B34" s="2">
        <f t="shared" si="0"/>
        <v>0.42747385576830205</v>
      </c>
      <c r="C34" s="3">
        <f>'73321 23 PTB'!H30/B34-1</f>
        <v>-1.0629552443939261E-2</v>
      </c>
      <c r="D34" s="3">
        <v>-5.0000000000000001E-3</v>
      </c>
      <c r="E34" s="2">
        <v>0</v>
      </c>
    </row>
    <row r="35" spans="1:5" x14ac:dyDescent="0.2">
      <c r="A35" s="2">
        <f>'73321 23 PTB'!G31</f>
        <v>540</v>
      </c>
      <c r="B35" s="2">
        <f t="shared" si="0"/>
        <v>0.43553940021676057</v>
      </c>
      <c r="C35" s="3">
        <f>'73321 23 PTB'!H31/B35-1</f>
        <v>-9.8714380710925864E-3</v>
      </c>
      <c r="D35" s="3">
        <v>-5.0000000000000001E-3</v>
      </c>
      <c r="E35" s="2">
        <v>0</v>
      </c>
    </row>
    <row r="36" spans="1:5" x14ac:dyDescent="0.2">
      <c r="A36" s="2">
        <f>'73321 23 PTB'!G32</f>
        <v>550</v>
      </c>
      <c r="B36" s="2">
        <f t="shared" si="0"/>
        <v>0.4436049446652191</v>
      </c>
      <c r="C36" s="3">
        <f>'73321 23 PTB'!H32/B36-1</f>
        <v>-9.2310618140415412E-3</v>
      </c>
      <c r="D36" s="3">
        <v>-5.0000000000000001E-3</v>
      </c>
      <c r="E36" s="2">
        <v>0</v>
      </c>
    </row>
    <row r="37" spans="1:5" x14ac:dyDescent="0.2">
      <c r="A37" s="2">
        <f>'73321 23 PTB'!G33</f>
        <v>560</v>
      </c>
      <c r="B37" s="2">
        <f t="shared" si="0"/>
        <v>0.45167048911367763</v>
      </c>
      <c r="C37" s="3">
        <f>'73321 23 PTB'!H33/B37-1</f>
        <v>-8.7021162737253022E-3</v>
      </c>
      <c r="D37" s="3">
        <v>-5.0000000000000001E-3</v>
      </c>
      <c r="E37" s="2">
        <v>0</v>
      </c>
    </row>
    <row r="38" spans="1:5" x14ac:dyDescent="0.2">
      <c r="A38" s="2">
        <f>'73321 23 PTB'!G34</f>
        <v>570</v>
      </c>
      <c r="B38" s="2">
        <f t="shared" si="0"/>
        <v>0.45973603356213616</v>
      </c>
      <c r="C38" s="3">
        <f>'73321 23 PTB'!H34/B38-1</f>
        <v>-8.235233450815449E-3</v>
      </c>
      <c r="D38" s="3">
        <v>-5.0000000000000001E-3</v>
      </c>
      <c r="E38" s="2">
        <v>0</v>
      </c>
    </row>
    <row r="39" spans="1:5" x14ac:dyDescent="0.2">
      <c r="A39" s="2">
        <f>'73321 23 PTB'!G35</f>
        <v>580</v>
      </c>
      <c r="B39" s="2">
        <f t="shared" si="0"/>
        <v>0.46780157801059469</v>
      </c>
      <c r="C39" s="3">
        <f>'73321 23 PTB'!H35/B39-1</f>
        <v>-7.86995637392085E-3</v>
      </c>
      <c r="D39" s="3">
        <v>-5.0000000000000001E-3</v>
      </c>
      <c r="E39" s="2">
        <v>0</v>
      </c>
    </row>
    <row r="40" spans="1:5" x14ac:dyDescent="0.2">
      <c r="A40" s="2">
        <f>'73321 23 PTB'!G36</f>
        <v>590</v>
      </c>
      <c r="B40" s="2">
        <f t="shared" si="0"/>
        <v>0.47586712245905322</v>
      </c>
      <c r="C40" s="3">
        <f>'73321 23 PTB'!H36/B40-1</f>
        <v>-7.5380758404083315E-3</v>
      </c>
      <c r="D40" s="3">
        <v>-5.0000000000000001E-3</v>
      </c>
      <c r="E40" s="2">
        <v>0</v>
      </c>
    </row>
    <row r="41" spans="1:5" x14ac:dyDescent="0.2">
      <c r="A41" s="2">
        <f>'73321 23 PTB'!G37</f>
        <v>600</v>
      </c>
      <c r="B41" s="2">
        <f t="shared" si="0"/>
        <v>0.48393266690751174</v>
      </c>
      <c r="C41" s="3">
        <f>'73321 23 PTB'!H37/B41-1</f>
        <v>-7.2792500866344367E-3</v>
      </c>
      <c r="D41" s="3">
        <v>-5.0000000000000001E-3</v>
      </c>
      <c r="E41" s="2">
        <v>0</v>
      </c>
    </row>
    <row r="42" spans="1:5" x14ac:dyDescent="0.2">
      <c r="A42" s="2">
        <f>'73321 23 PTB'!G38</f>
        <v>610</v>
      </c>
      <c r="B42" s="2">
        <f t="shared" si="0"/>
        <v>0.49199821135597027</v>
      </c>
      <c r="C42" s="3">
        <f>'73321 23 PTB'!H38/B42-1</f>
        <v>-6.8866334831425569E-3</v>
      </c>
      <c r="D42" s="3">
        <v>-5.0000000000000001E-3</v>
      </c>
      <c r="E42" s="2">
        <v>0</v>
      </c>
    </row>
    <row r="43" spans="1:5" x14ac:dyDescent="0.2">
      <c r="A43" s="2">
        <f>'73321 23 PTB'!G39</f>
        <v>620</v>
      </c>
      <c r="B43" s="2">
        <f t="shared" si="0"/>
        <v>0.50006375580442874</v>
      </c>
      <c r="C43" s="3">
        <f>'73321 23 PTB'!H39/B43-1</f>
        <v>-6.6466640820268541E-3</v>
      </c>
      <c r="D43" s="3">
        <v>-5.0000000000000001E-3</v>
      </c>
      <c r="E43" s="2">
        <v>0</v>
      </c>
    </row>
    <row r="44" spans="1:5" x14ac:dyDescent="0.2">
      <c r="A44" s="2">
        <f>'73321 23 PTB'!G40</f>
        <v>630</v>
      </c>
      <c r="B44" s="2">
        <f t="shared" si="0"/>
        <v>0.50812930025288727</v>
      </c>
      <c r="C44" s="3">
        <f>'73321 23 PTB'!H40/B44-1</f>
        <v>-6.3552726663864689E-3</v>
      </c>
      <c r="D44" s="3">
        <v>-5.0000000000000001E-3</v>
      </c>
      <c r="E44" s="2">
        <v>0</v>
      </c>
    </row>
    <row r="45" spans="1:5" x14ac:dyDescent="0.2">
      <c r="A45" s="2">
        <f>'73321 23 PTB'!G41</f>
        <v>640</v>
      </c>
      <c r="B45" s="2">
        <f t="shared" si="0"/>
        <v>0.5161948447013458</v>
      </c>
      <c r="C45" s="3">
        <f>'73321 23 PTB'!H41/B45-1</f>
        <v>-6.0729872324849499E-3</v>
      </c>
      <c r="D45" s="3">
        <v>-5.0000000000000001E-3</v>
      </c>
      <c r="E45" s="2">
        <v>0</v>
      </c>
    </row>
    <row r="46" spans="1:5" x14ac:dyDescent="0.2">
      <c r="A46" s="2">
        <f>'73321 23 PTB'!G42</f>
        <v>650</v>
      </c>
      <c r="B46" s="2">
        <f t="shared" si="0"/>
        <v>0.52426038914980433</v>
      </c>
      <c r="C46" s="3">
        <f>'73321 23 PTB'!H42/B46-1</f>
        <v>-5.8566109768154462E-3</v>
      </c>
      <c r="D46" s="3">
        <v>-5.0000000000000001E-3</v>
      </c>
      <c r="E46" s="2">
        <v>0</v>
      </c>
    </row>
    <row r="47" spans="1:5" x14ac:dyDescent="0.2">
      <c r="A47" s="2">
        <f>'73321 23 PTB'!G43</f>
        <v>660</v>
      </c>
      <c r="B47" s="2">
        <f t="shared" si="0"/>
        <v>0.53232593359826286</v>
      </c>
      <c r="C47" s="3">
        <f>'73321 23 PTB'!H43/B47-1</f>
        <v>-5.6843625442198897E-3</v>
      </c>
      <c r="D47" s="3">
        <v>-5.0000000000000001E-3</v>
      </c>
      <c r="E47" s="2">
        <v>0</v>
      </c>
    </row>
    <row r="48" spans="1:5" x14ac:dyDescent="0.2">
      <c r="A48" s="2">
        <f>'73321 23 PTB'!G44</f>
        <v>670</v>
      </c>
      <c r="B48" s="2">
        <f t="shared" si="0"/>
        <v>0.54039147804672139</v>
      </c>
      <c r="C48" s="3">
        <f>'73321 23 PTB'!H44/B48-1</f>
        <v>-5.4247303405252634E-3</v>
      </c>
      <c r="D48" s="3">
        <v>-5.0000000000000001E-3</v>
      </c>
      <c r="E48" s="2">
        <v>0</v>
      </c>
    </row>
    <row r="49" spans="1:5" x14ac:dyDescent="0.2">
      <c r="A49" s="2">
        <f>'73321 23 PTB'!G45</f>
        <v>680</v>
      </c>
      <c r="B49" s="2">
        <f t="shared" si="0"/>
        <v>0.54845702249517991</v>
      </c>
      <c r="C49" s="3">
        <f>'73321 23 PTB'!H45/B49-1</f>
        <v>-5.2456662549256183E-3</v>
      </c>
      <c r="D49" s="3">
        <v>-5.0000000000000001E-3</v>
      </c>
      <c r="E49" s="2">
        <v>0</v>
      </c>
    </row>
    <row r="50" spans="1:5" x14ac:dyDescent="0.2">
      <c r="A50" s="2">
        <f>'73321 23 PTB'!G46</f>
        <v>690</v>
      </c>
      <c r="B50" s="2">
        <f t="shared" si="0"/>
        <v>0.55652256694363844</v>
      </c>
      <c r="C50" s="3">
        <f>'73321 23 PTB'!H46/B50-1</f>
        <v>-5.1077298792204795E-3</v>
      </c>
      <c r="D50" s="3">
        <v>-5.0000000000000001E-3</v>
      </c>
      <c r="E50" s="2">
        <v>0</v>
      </c>
    </row>
    <row r="51" spans="1:5" x14ac:dyDescent="0.2">
      <c r="A51" s="2">
        <f>'73321 23 PTB'!G47</f>
        <v>700</v>
      </c>
      <c r="B51" s="2">
        <f t="shared" si="0"/>
        <v>0.56458811139209697</v>
      </c>
      <c r="C51" s="3">
        <f>'73321 23 PTB'!H47/B51-1</f>
        <v>-4.9383104883706785E-3</v>
      </c>
      <c r="D51" s="3">
        <v>-5.0000000000000001E-3</v>
      </c>
      <c r="E51" s="2">
        <v>0</v>
      </c>
    </row>
    <row r="52" spans="1:5" x14ac:dyDescent="0.2">
      <c r="A52" s="2">
        <f>'73321 23 PTB'!G48</f>
        <v>710</v>
      </c>
      <c r="B52" s="2">
        <f t="shared" si="0"/>
        <v>0.5726536558405555</v>
      </c>
      <c r="C52" s="3">
        <f>'73321 23 PTB'!H48/B52-1</f>
        <v>-4.8085885988340404E-3</v>
      </c>
      <c r="D52" s="3">
        <v>-5.0000000000000001E-3</v>
      </c>
      <c r="E52" s="2">
        <v>0</v>
      </c>
    </row>
    <row r="53" spans="1:5" x14ac:dyDescent="0.2">
      <c r="A53" s="2">
        <f>'73321 23 PTB'!G49</f>
        <v>720</v>
      </c>
      <c r="B53" s="2">
        <f t="shared" si="0"/>
        <v>0.58071920028901403</v>
      </c>
      <c r="C53" s="3">
        <f>'73321 23 PTB'!H49/B53-1</f>
        <v>-4.6824700951179077E-3</v>
      </c>
      <c r="D53" s="3">
        <v>-5.0000000000000001E-3</v>
      </c>
      <c r="E53" s="2">
        <v>0</v>
      </c>
    </row>
    <row r="54" spans="1:5" x14ac:dyDescent="0.2">
      <c r="A54" s="2">
        <f>'73321 23 PTB'!G50</f>
        <v>730</v>
      </c>
      <c r="B54" s="2">
        <f t="shared" si="0"/>
        <v>0.58878474473747255</v>
      </c>
      <c r="C54" s="3">
        <f>'73321 23 PTB'!H50/B54-1</f>
        <v>-4.5767910285686719E-3</v>
      </c>
      <c r="D54" s="3">
        <v>-5.0000000000000001E-3</v>
      </c>
      <c r="E54" s="2">
        <v>0</v>
      </c>
    </row>
    <row r="55" spans="1:5" x14ac:dyDescent="0.2">
      <c r="A55" s="2">
        <f>'73321 23 PTB'!G51</f>
        <v>740</v>
      </c>
      <c r="B55" s="2">
        <f t="shared" si="0"/>
        <v>0.59685028918593108</v>
      </c>
      <c r="C55" s="3">
        <f>'73321 23 PTB'!H51/B55-1</f>
        <v>-4.4572135326591544E-3</v>
      </c>
      <c r="D55" s="3">
        <v>-5.0000000000000001E-3</v>
      </c>
      <c r="E55" s="2">
        <v>0</v>
      </c>
    </row>
    <row r="56" spans="1:5" x14ac:dyDescent="0.2">
      <c r="A56" s="2">
        <f>'73321 23 PTB'!G52</f>
        <v>750</v>
      </c>
      <c r="B56" s="2">
        <f t="shared" si="0"/>
        <v>0.60491583363438961</v>
      </c>
      <c r="C56" s="3">
        <f>'73321 23 PTB'!H52/B56-1</f>
        <v>-4.3904184462044693E-3</v>
      </c>
      <c r="D56" s="3">
        <v>-5.0000000000000001E-3</v>
      </c>
      <c r="E56" s="2">
        <v>0</v>
      </c>
    </row>
    <row r="57" spans="1:5" x14ac:dyDescent="0.2">
      <c r="A57" s="2">
        <f>'73321 23 PTB'!G53</f>
        <v>760</v>
      </c>
      <c r="B57" s="2">
        <f t="shared" si="0"/>
        <v>0.61298137808284814</v>
      </c>
      <c r="C57" s="3">
        <f>'73321 23 PTB'!H53/B57-1</f>
        <v>-4.2927537066101973E-3</v>
      </c>
      <c r="D57" s="3">
        <v>-5.0000000000000001E-3</v>
      </c>
      <c r="E57" s="2">
        <v>0</v>
      </c>
    </row>
    <row r="58" spans="1:5" x14ac:dyDescent="0.2">
      <c r="A58" s="2">
        <f>'73321 23 PTB'!G54</f>
        <v>770</v>
      </c>
      <c r="B58" s="2">
        <f t="shared" si="0"/>
        <v>0.62104692253130667</v>
      </c>
      <c r="C58" s="3">
        <f>'73321 23 PTB'!H54/B58-1</f>
        <v>-4.2459312422946649E-3</v>
      </c>
      <c r="D58" s="3">
        <v>-5.0000000000000001E-3</v>
      </c>
      <c r="E58" s="2">
        <v>0</v>
      </c>
    </row>
    <row r="59" spans="1:5" x14ac:dyDescent="0.2">
      <c r="A59" s="2">
        <f>'73321 23 PTB'!G55</f>
        <v>780</v>
      </c>
      <c r="B59" s="2">
        <f t="shared" si="0"/>
        <v>0.62911246697976519</v>
      </c>
      <c r="C59" s="3">
        <f>'73321 23 PTB'!H55/B59-1</f>
        <v>-4.2003093539874081E-3</v>
      </c>
      <c r="D59" s="3">
        <v>-5.0000000000000001E-3</v>
      </c>
      <c r="E59" s="2">
        <v>0</v>
      </c>
    </row>
    <row r="60" spans="1:5" x14ac:dyDescent="0.2">
      <c r="A60" s="2">
        <f>'73321 23 PTB'!G56</f>
        <v>790</v>
      </c>
      <c r="B60" s="2">
        <f t="shared" si="0"/>
        <v>0.63717801142822372</v>
      </c>
      <c r="C60" s="3">
        <f>'73321 23 PTB'!H56/B60-1</f>
        <v>-4.1401482488554464E-3</v>
      </c>
      <c r="D60" s="3">
        <v>-5.0000000000000001E-3</v>
      </c>
      <c r="E60" s="2">
        <v>0</v>
      </c>
    </row>
    <row r="61" spans="1:5" x14ac:dyDescent="0.2">
      <c r="A61" s="2">
        <f>'73321 23 PTB'!G57</f>
        <v>800</v>
      </c>
      <c r="B61" s="2">
        <f t="shared" si="0"/>
        <v>0.64524355587668225</v>
      </c>
      <c r="C61" s="3">
        <f>'73321 23 PTB'!H57/B61-1</f>
        <v>-4.0969891951738724E-3</v>
      </c>
      <c r="D61" s="3">
        <v>-5.0000000000000001E-3</v>
      </c>
      <c r="E61" s="2">
        <v>0</v>
      </c>
    </row>
    <row r="62" spans="1:5" x14ac:dyDescent="0.2">
      <c r="A62" s="2">
        <f>'73321 23 PTB'!G58</f>
        <v>810</v>
      </c>
      <c r="B62" s="2">
        <f t="shared" si="0"/>
        <v>0.65330910032514078</v>
      </c>
      <c r="C62" s="3">
        <f>'73321 23 PTB'!H58/B62-1</f>
        <v>-4.1008158677223738E-3</v>
      </c>
      <c r="D62" s="3">
        <v>-5.0000000000000001E-3</v>
      </c>
      <c r="E62" s="2">
        <v>0</v>
      </c>
    </row>
    <row r="63" spans="1:5" x14ac:dyDescent="0.2">
      <c r="A63" s="2">
        <f>'73321 23 PTB'!G59</f>
        <v>820</v>
      </c>
      <c r="B63" s="2">
        <f t="shared" si="0"/>
        <v>0.66137464477359931</v>
      </c>
      <c r="C63" s="3">
        <f>'73321 23 PTB'!H59/B63-1</f>
        <v>-4.0591891370711508E-3</v>
      </c>
      <c r="D63" s="3">
        <v>-5.0000000000000001E-3</v>
      </c>
      <c r="E63" s="2">
        <v>0</v>
      </c>
    </row>
    <row r="64" spans="1:5" x14ac:dyDescent="0.2">
      <c r="A64" s="2">
        <f>'73321 23 PTB'!G60</f>
        <v>830</v>
      </c>
      <c r="B64" s="2">
        <f t="shared" si="0"/>
        <v>0.66944018922205784</v>
      </c>
      <c r="C64" s="3">
        <f>'73321 23 PTB'!H60/B64-1</f>
        <v>-4.0335033144569543E-3</v>
      </c>
      <c r="D64" s="3">
        <v>-5.0000000000000001E-3</v>
      </c>
      <c r="E64" s="2">
        <v>0</v>
      </c>
    </row>
    <row r="65" spans="1:5" x14ac:dyDescent="0.2">
      <c r="A65" s="2">
        <f>'73321 23 PTB'!G61</f>
        <v>840</v>
      </c>
      <c r="B65" s="2">
        <f t="shared" si="0"/>
        <v>0.67750573367051636</v>
      </c>
      <c r="C65" s="3">
        <f>'73321 23 PTB'!H61/B65-1</f>
        <v>-4.0379491044231219E-3</v>
      </c>
      <c r="D65" s="3">
        <v>-5.0000000000000001E-3</v>
      </c>
      <c r="E65" s="2">
        <v>0</v>
      </c>
    </row>
    <row r="66" spans="1:5" x14ac:dyDescent="0.2">
      <c r="A66" s="2">
        <f>'73321 23 PTB'!G62</f>
        <v>850</v>
      </c>
      <c r="B66" s="2">
        <f t="shared" si="0"/>
        <v>0.68557127811897489</v>
      </c>
      <c r="C66" s="3">
        <f>'73321 23 PTB'!H62/B66-1</f>
        <v>-4.0277039122045277E-3</v>
      </c>
      <c r="D66" s="3">
        <v>-5.0000000000000001E-3</v>
      </c>
      <c r="E66" s="2">
        <v>0</v>
      </c>
    </row>
    <row r="67" spans="1:5" x14ac:dyDescent="0.2">
      <c r="A67" s="2">
        <f>'73321 23 PTB'!G63</f>
        <v>860</v>
      </c>
      <c r="B67" s="2">
        <f t="shared" si="0"/>
        <v>0.69363682256743353</v>
      </c>
      <c r="C67" s="3">
        <f>'73321 23 PTB'!H63/B67-1</f>
        <v>-4.0321137466164947E-3</v>
      </c>
      <c r="D67" s="3">
        <v>-6.0000000000000001E-3</v>
      </c>
      <c r="E67" s="2">
        <v>0</v>
      </c>
    </row>
    <row r="68" spans="1:5" x14ac:dyDescent="0.2">
      <c r="A68" s="2">
        <f>'73321 23 PTB'!G64</f>
        <v>870</v>
      </c>
      <c r="B68" s="2">
        <f t="shared" si="0"/>
        <v>0.70170236701589206</v>
      </c>
      <c r="C68" s="3">
        <f>'73321 23 PTB'!H64/B68-1</f>
        <v>-4.0364222055245813E-3</v>
      </c>
      <c r="D68" s="3">
        <v>-7.0000000000000001E-3</v>
      </c>
      <c r="E68" s="2">
        <v>0</v>
      </c>
    </row>
    <row r="69" spans="1:5" x14ac:dyDescent="0.2">
      <c r="A69" s="2">
        <f>'73321 23 PTB'!G65</f>
        <v>880</v>
      </c>
      <c r="B69" s="2">
        <f t="shared" ref="B69:B91" si="3">A69*$N$7</f>
        <v>0.70976791146435059</v>
      </c>
      <c r="C69" s="3">
        <f>'73321 23 PTB'!H65/B69-1</f>
        <v>-4.0406327449119539E-3</v>
      </c>
      <c r="D69" s="3">
        <v>-8.0000000000000002E-3</v>
      </c>
      <c r="E69" s="2">
        <v>0</v>
      </c>
    </row>
    <row r="70" spans="1:5" x14ac:dyDescent="0.2">
      <c r="A70" s="2">
        <f>'73321 23 PTB'!G66</f>
        <v>890</v>
      </c>
      <c r="B70" s="2">
        <f t="shared" si="3"/>
        <v>0.71783345591280912</v>
      </c>
      <c r="C70" s="3">
        <f>'73321 23 PTB'!H66/B70-1</f>
        <v>-4.0586794733665776E-3</v>
      </c>
      <c r="D70" s="3">
        <v>-8.9999999999999993E-3</v>
      </c>
      <c r="E70" s="2">
        <v>0</v>
      </c>
    </row>
    <row r="71" spans="1:5" x14ac:dyDescent="0.2">
      <c r="A71" s="2">
        <f>'73321 23 PTB'!G67</f>
        <v>900</v>
      </c>
      <c r="B71" s="2">
        <f t="shared" si="3"/>
        <v>0.72589900036126764</v>
      </c>
      <c r="C71" s="3">
        <f>'73321 23 PTB'!H67/B71-1</f>
        <v>-4.1176532269365795E-3</v>
      </c>
      <c r="D71" s="3">
        <v>-0.01</v>
      </c>
      <c r="E71" s="2">
        <v>0</v>
      </c>
    </row>
    <row r="72" spans="1:5" x14ac:dyDescent="0.2">
      <c r="A72" s="2">
        <f>'73321 23 PTB'!G68</f>
        <v>910</v>
      </c>
      <c r="B72" s="2">
        <f t="shared" si="3"/>
        <v>0.73396454480972617</v>
      </c>
      <c r="C72" s="3">
        <f>'73321 23 PTB'!H68/B72-1</f>
        <v>-4.3252018536523718E-3</v>
      </c>
    </row>
    <row r="73" spans="1:5" x14ac:dyDescent="0.2">
      <c r="A73" s="2">
        <f>'73321 23 PTB'!G69</f>
        <v>920</v>
      </c>
      <c r="B73" s="2">
        <f t="shared" si="3"/>
        <v>0.7420300892581847</v>
      </c>
      <c r="C73" s="3">
        <f>'73321 23 PTB'!H69/B73-1</f>
        <v>-5.0673002518586419E-3</v>
      </c>
    </row>
    <row r="74" spans="1:5" x14ac:dyDescent="0.2">
      <c r="A74" s="2">
        <f>'73321 23 PTB'!G70</f>
        <v>930</v>
      </c>
      <c r="B74" s="2">
        <f t="shared" si="3"/>
        <v>0.75009563370664323</v>
      </c>
      <c r="C74" s="3">
        <f>'73321 23 PTB'!H70/B74-1</f>
        <v>-6.8333069495613019E-3</v>
      </c>
    </row>
    <row r="75" spans="1:5" x14ac:dyDescent="0.2">
      <c r="A75" s="2">
        <f>'73321 23 PTB'!G71</f>
        <v>940</v>
      </c>
      <c r="B75" s="2">
        <f t="shared" si="3"/>
        <v>0.75816117815510176</v>
      </c>
      <c r="C75" s="3">
        <f>'73321 23 PTB'!H71/B75-1</f>
        <v>-1.0197275167682207E-2</v>
      </c>
    </row>
    <row r="76" spans="1:5" x14ac:dyDescent="0.2">
      <c r="A76" s="2">
        <f>'73321 23 PTB'!G72</f>
        <v>950</v>
      </c>
      <c r="B76" s="2">
        <f t="shared" si="3"/>
        <v>0.76622672260356028</v>
      </c>
      <c r="C76" s="3">
        <f>'73321 23 PTB'!H72/B76-1</f>
        <v>-1.6139769390369652E-2</v>
      </c>
    </row>
    <row r="77" spans="1:5" x14ac:dyDescent="0.2">
      <c r="A77" s="2">
        <f>'73321 23 PTB'!G73</f>
        <v>960</v>
      </c>
      <c r="B77" s="2">
        <f t="shared" si="3"/>
        <v>0.77429226705201881</v>
      </c>
      <c r="C77" s="3">
        <f>'73321 23 PTB'!H73/B77-1</f>
        <v>-2.6530378677588784E-2</v>
      </c>
    </row>
    <row r="78" spans="1:5" x14ac:dyDescent="0.2">
      <c r="A78" s="2">
        <f>'73321 23 PTB'!G74</f>
        <v>970</v>
      </c>
      <c r="B78" s="2">
        <f t="shared" si="3"/>
        <v>0.78235781150047734</v>
      </c>
      <c r="C78" s="3">
        <f>'73321 23 PTB'!H74/B78-1</f>
        <v>-4.3826253149715555E-2</v>
      </c>
    </row>
    <row r="79" spans="1:5" x14ac:dyDescent="0.2">
      <c r="A79" s="2">
        <f>'73321 23 PTB'!G75</f>
        <v>980</v>
      </c>
      <c r="B79" s="2">
        <f t="shared" si="3"/>
        <v>0.79042335594893587</v>
      </c>
      <c r="C79" s="3">
        <f>'73321 23 PTB'!H75/B79-1</f>
        <v>-7.0498114117639732E-2</v>
      </c>
    </row>
    <row r="80" spans="1:5" x14ac:dyDescent="0.2">
      <c r="A80" s="2">
        <f>'73321 23 PTB'!G76</f>
        <v>990</v>
      </c>
      <c r="B80" s="2">
        <f t="shared" si="3"/>
        <v>0.7984889003973944</v>
      </c>
      <c r="C80" s="3">
        <f>'73321 23 PTB'!H76/B80-1</f>
        <v>-0.10881666652366895</v>
      </c>
    </row>
    <row r="81" spans="1:3" x14ac:dyDescent="0.2">
      <c r="A81" s="2">
        <f>'73321 23 PTB'!G77</f>
        <v>1000</v>
      </c>
      <c r="B81" s="2">
        <f t="shared" si="3"/>
        <v>0.80655444484585292</v>
      </c>
      <c r="C81" s="3">
        <f>'73321 23 PTB'!H77/B81-1</f>
        <v>-0.16112296656016767</v>
      </c>
    </row>
    <row r="82" spans="1:3" x14ac:dyDescent="0.2">
      <c r="A82" s="2">
        <f>'73321 23 PTB'!G78</f>
        <v>1010</v>
      </c>
      <c r="B82" s="2">
        <f t="shared" si="3"/>
        <v>0.81461998929431145</v>
      </c>
      <c r="C82" s="3">
        <f>'73321 23 PTB'!H78/B82-1</f>
        <v>-0.22896564256407448</v>
      </c>
    </row>
    <row r="83" spans="1:3" x14ac:dyDescent="0.2">
      <c r="A83" s="2">
        <f>'73321 23 PTB'!G79</f>
        <v>1020</v>
      </c>
      <c r="B83" s="2">
        <f t="shared" si="3"/>
        <v>0.82268553374276998</v>
      </c>
      <c r="C83" s="3">
        <f>'73321 23 PTB'!H79/B83-1</f>
        <v>-0.31322482670923057</v>
      </c>
    </row>
    <row r="84" spans="1:3" x14ac:dyDescent="0.2">
      <c r="A84" s="2">
        <f>'73321 23 PTB'!G80</f>
        <v>1030</v>
      </c>
      <c r="B84" s="2">
        <f t="shared" si="3"/>
        <v>0.83075107819122851</v>
      </c>
      <c r="C84" s="3">
        <f>'73321 23 PTB'!H80/B84-1</f>
        <v>-0.41077416226076424</v>
      </c>
    </row>
    <row r="85" spans="1:3" x14ac:dyDescent="0.2">
      <c r="A85" s="2">
        <f>'73321 23 PTB'!G81</f>
        <v>1040</v>
      </c>
      <c r="B85" s="2">
        <f t="shared" si="3"/>
        <v>0.83881662263968704</v>
      </c>
      <c r="C85" s="3">
        <f>'73321 23 PTB'!H81/B85-1</f>
        <v>-0.51503106993774894</v>
      </c>
    </row>
    <row r="86" spans="1:3" x14ac:dyDescent="0.2">
      <c r="A86" s="2">
        <f>'73321 23 PTB'!G82</f>
        <v>1050</v>
      </c>
      <c r="B86" s="2">
        <f t="shared" si="3"/>
        <v>0.84688216708814557</v>
      </c>
      <c r="C86" s="3">
        <f>'73321 23 PTB'!H82/B86-1</f>
        <v>-0.61777445248022511</v>
      </c>
    </row>
    <row r="87" spans="1:3" x14ac:dyDescent="0.2">
      <c r="A87" s="2">
        <f>'73321 23 PTB'!G83</f>
        <v>1060</v>
      </c>
      <c r="B87" s="2">
        <f t="shared" si="3"/>
        <v>0.85494771153660409</v>
      </c>
      <c r="C87" s="3">
        <f>'73321 23 PTB'!H83/B87-1</f>
        <v>-0.71354973328153681</v>
      </c>
    </row>
    <row r="88" spans="1:3" x14ac:dyDescent="0.2">
      <c r="A88" s="2">
        <f>'73321 23 PTB'!G84</f>
        <v>1070</v>
      </c>
      <c r="B88" s="2">
        <f t="shared" si="3"/>
        <v>0.86301325598506262</v>
      </c>
      <c r="C88" s="3">
        <f>'73321 23 PTB'!H84/B88-1</f>
        <v>-0.78181099920062036</v>
      </c>
    </row>
    <row r="89" spans="1:3" x14ac:dyDescent="0.2">
      <c r="A89" s="2">
        <f>'73321 23 PTB'!G85</f>
        <v>1080</v>
      </c>
      <c r="B89" s="2">
        <f t="shared" si="3"/>
        <v>0.87107880043352115</v>
      </c>
      <c r="C89" s="3">
        <f>'73321 23 PTB'!H85/B89-1</f>
        <v>-0.82906253725162982</v>
      </c>
    </row>
    <row r="90" spans="1:3" x14ac:dyDescent="0.2">
      <c r="A90" s="2">
        <f>'73321 23 PTB'!G86</f>
        <v>1090</v>
      </c>
      <c r="B90" s="2">
        <f t="shared" si="3"/>
        <v>0.87914434488197968</v>
      </c>
      <c r="C90" s="3">
        <f>'73321 23 PTB'!H86/B90-1</f>
        <v>-0.86725729320858413</v>
      </c>
    </row>
    <row r="91" spans="1:3" x14ac:dyDescent="0.2">
      <c r="A91" s="2">
        <f>'73321 23 PTB'!G87</f>
        <v>1100</v>
      </c>
      <c r="B91" s="2">
        <f t="shared" si="3"/>
        <v>0.88720988933043821</v>
      </c>
      <c r="C91" s="3">
        <f>'73321 23 PTB'!H87/B91-1</f>
        <v>-0.89810753792631492</v>
      </c>
    </row>
  </sheetData>
  <pageMargins left="0.78740157499999996" right="0.78740157499999996" top="0.984251969" bottom="0.984251969" header="0.4921259845" footer="0.492125984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73321 23 PTB</vt:lpstr>
      <vt:lpstr>Chk1</vt:lpstr>
    </vt:vector>
  </TitlesOfParts>
  <Company>METAS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Reto Schafer</dc:creator>
  <cp:lastModifiedBy>Schafer Reto METAS</cp:lastModifiedBy>
  <dcterms:created xsi:type="dcterms:W3CDTF">2013-08-23T10:14:37Z</dcterms:created>
  <dcterms:modified xsi:type="dcterms:W3CDTF">2023-05-10T14:36:09Z</dcterms:modified>
</cp:coreProperties>
</file>