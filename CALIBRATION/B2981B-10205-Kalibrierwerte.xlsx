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5116-Optik\30_Labor_QS\60_Messmittel\10205_Picoammeter_Keysight-B2981B\"/>
    </mc:Choice>
  </mc:AlternateContent>
  <xr:revisionPtr revIDLastSave="0" documentId="13_ncr:1_{34153B11-4332-4E3F-A49E-CE9CF1D85FE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J10" i="1" s="1"/>
  <c r="F16" i="1"/>
  <c r="J12" i="1" s="1"/>
  <c r="F34" i="1"/>
  <c r="J18" i="1" s="1"/>
  <c r="F31" i="1"/>
  <c r="J17" i="1" s="1"/>
  <c r="F28" i="1"/>
  <c r="J16" i="1" s="1"/>
  <c r="F25" i="1"/>
  <c r="J15" i="1" s="1"/>
  <c r="F22" i="1"/>
  <c r="J14" i="1" s="1"/>
  <c r="F19" i="1"/>
  <c r="J13" i="1" s="1"/>
  <c r="F13" i="1"/>
  <c r="J11" i="1" s="1"/>
  <c r="E34" i="1"/>
  <c r="I18" i="1" s="1"/>
  <c r="E31" i="1"/>
  <c r="I17" i="1" s="1"/>
  <c r="E28" i="1"/>
  <c r="I16" i="1" s="1"/>
  <c r="E25" i="1"/>
  <c r="I15" i="1" s="1"/>
  <c r="E22" i="1"/>
  <c r="I14" i="1" s="1"/>
  <c r="E19" i="1"/>
  <c r="I13" i="1" s="1"/>
  <c r="E16" i="1"/>
  <c r="I12" i="1" s="1"/>
  <c r="E13" i="1"/>
  <c r="I11" i="1" s="1"/>
  <c r="E10" i="1"/>
  <c r="I10" i="1" s="1"/>
</calcChain>
</file>

<file path=xl/sharedStrings.xml><?xml version="1.0" encoding="utf-8"?>
<sst xmlns="http://schemas.openxmlformats.org/spreadsheetml/2006/main" count="32" uniqueCount="23">
  <si>
    <t>Mittelwert</t>
  </si>
  <si>
    <t>Urel / (uV/V)</t>
  </si>
  <si>
    <t>Messmittel:</t>
  </si>
  <si>
    <t>Zertifikat:</t>
  </si>
  <si>
    <t>Datum:</t>
  </si>
  <si>
    <t>∆U/U / (uV/V)</t>
  </si>
  <si>
    <t>Sare</t>
  </si>
  <si>
    <t>Seriennummer:</t>
  </si>
  <si>
    <t>MM-Nr.</t>
  </si>
  <si>
    <t>Keysight B2981B</t>
  </si>
  <si>
    <t>MY61390231</t>
  </si>
  <si>
    <t>212-08819</t>
  </si>
  <si>
    <t>Bereich</t>
  </si>
  <si>
    <t>200 uA</t>
  </si>
  <si>
    <t>20 uA</t>
  </si>
  <si>
    <t>2 uA</t>
  </si>
  <si>
    <t>200 nA</t>
  </si>
  <si>
    <t>20 nA</t>
  </si>
  <si>
    <t>200 pA</t>
  </si>
  <si>
    <t>2 nA</t>
  </si>
  <si>
    <t>2 pA</t>
  </si>
  <si>
    <t>20 pA</t>
  </si>
  <si>
    <t>212-09424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</si>
</sst>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18" fontId="1" fillId="0" borderId="0" xfId="0" quotePrefix="1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/>
    <xf numFmtId="0" fontId="1" fillId="3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D1" sqref="D1"/>
    </sheetView>
  </sheetViews>
  <sheetFormatPr baseColWidth="10" defaultRowHeight="15" x14ac:dyDescent="0.25"/>
  <cols>
    <col min="1" max="1" width="14.5703125" bestFit="1" customWidth="1"/>
    <col min="2" max="2" width="15.42578125" bestFit="1" customWidth="1"/>
    <col min="3" max="4" width="12.28515625" style="1" bestFit="1" customWidth="1"/>
    <col min="5" max="6" width="12.42578125" style="1" bestFit="1" customWidth="1"/>
    <col min="7" max="7" width="11.42578125" style="1"/>
    <col min="8" max="8" width="12.7109375" customWidth="1"/>
    <col min="9" max="10" width="12.7109375" style="1" customWidth="1"/>
    <col min="11" max="11" width="11.42578125" style="1"/>
    <col min="12" max="12" width="12.28515625" bestFit="1" customWidth="1"/>
    <col min="13" max="13" width="11.28515625" bestFit="1" customWidth="1"/>
  </cols>
  <sheetData>
    <row r="1" spans="1:13" x14ac:dyDescent="0.25">
      <c r="A1" s="2" t="s">
        <v>2</v>
      </c>
      <c r="B1" s="3" t="s">
        <v>9</v>
      </c>
      <c r="C1" s="4"/>
      <c r="D1" s="5"/>
      <c r="E1" s="5"/>
      <c r="F1" s="5"/>
      <c r="G1" s="4"/>
    </row>
    <row r="2" spans="1:13" x14ac:dyDescent="0.25">
      <c r="A2" s="2" t="s">
        <v>7</v>
      </c>
      <c r="B2" s="3" t="s">
        <v>10</v>
      </c>
      <c r="C2" s="5"/>
      <c r="D2" s="6"/>
      <c r="E2" s="5"/>
      <c r="F2" s="5"/>
      <c r="G2" s="4"/>
    </row>
    <row r="3" spans="1:13" x14ac:dyDescent="0.25">
      <c r="A3" s="2" t="s">
        <v>8</v>
      </c>
      <c r="B3" s="3">
        <v>10205</v>
      </c>
      <c r="C3" s="5"/>
      <c r="D3" s="6"/>
      <c r="E3" s="5"/>
      <c r="F3" s="5"/>
      <c r="G3" s="27"/>
    </row>
    <row r="4" spans="1:13" x14ac:dyDescent="0.25">
      <c r="A4" s="2" t="s">
        <v>3</v>
      </c>
      <c r="B4" s="41" t="s">
        <v>22</v>
      </c>
      <c r="C4" s="5"/>
      <c r="D4" s="43">
        <v>45691</v>
      </c>
      <c r="E4" s="44" t="s">
        <v>6</v>
      </c>
      <c r="F4" s="5"/>
      <c r="G4" s="4"/>
    </row>
    <row r="5" spans="1:13" x14ac:dyDescent="0.25">
      <c r="A5" s="2" t="s">
        <v>4</v>
      </c>
      <c r="B5" s="42">
        <v>45678</v>
      </c>
      <c r="C5" s="5"/>
      <c r="D5" s="6"/>
      <c r="E5" s="5"/>
      <c r="F5" s="5"/>
      <c r="G5" s="4"/>
    </row>
    <row r="6" spans="1:13" x14ac:dyDescent="0.25">
      <c r="A6" s="2"/>
      <c r="B6" s="12" t="s">
        <v>11</v>
      </c>
      <c r="C6" s="5"/>
      <c r="D6" s="29">
        <v>45267</v>
      </c>
      <c r="E6" s="12" t="s">
        <v>6</v>
      </c>
      <c r="F6" s="5"/>
      <c r="G6" s="35"/>
      <c r="I6" s="36"/>
      <c r="J6" s="36"/>
      <c r="K6" s="36"/>
    </row>
    <row r="7" spans="1:13" x14ac:dyDescent="0.25">
      <c r="A7" s="2"/>
      <c r="B7" s="13">
        <v>45263</v>
      </c>
      <c r="C7" s="5"/>
      <c r="D7" s="6"/>
      <c r="E7" s="5"/>
      <c r="F7" s="5"/>
      <c r="G7" s="35"/>
      <c r="I7" s="36"/>
      <c r="J7" s="36"/>
      <c r="K7" s="36"/>
    </row>
    <row r="8" spans="1:13" x14ac:dyDescent="0.25">
      <c r="A8" s="7"/>
      <c r="B8" s="11"/>
      <c r="C8" s="5"/>
      <c r="D8" s="5"/>
      <c r="E8" s="37" t="s">
        <v>0</v>
      </c>
      <c r="F8" s="37"/>
      <c r="G8"/>
      <c r="H8" s="21"/>
      <c r="I8" s="38" t="s">
        <v>0</v>
      </c>
      <c r="J8" s="39"/>
      <c r="K8"/>
      <c r="L8" s="40">
        <v>2022</v>
      </c>
      <c r="M8" s="40"/>
    </row>
    <row r="9" spans="1:13" x14ac:dyDescent="0.25">
      <c r="A9" s="8" t="s">
        <v>12</v>
      </c>
      <c r="B9" s="6" t="s">
        <v>5</v>
      </c>
      <c r="C9" s="6" t="s">
        <v>5</v>
      </c>
      <c r="D9" s="5" t="s">
        <v>1</v>
      </c>
      <c r="E9" s="6" t="s">
        <v>5</v>
      </c>
      <c r="F9" s="5" t="s">
        <v>1</v>
      </c>
      <c r="G9"/>
      <c r="H9" s="22"/>
      <c r="I9" s="23" t="s">
        <v>5</v>
      </c>
      <c r="J9" s="18" t="s">
        <v>1</v>
      </c>
      <c r="K9"/>
      <c r="L9" s="23" t="s">
        <v>5</v>
      </c>
      <c r="M9" s="28" t="s">
        <v>1</v>
      </c>
    </row>
    <row r="10" spans="1:13" x14ac:dyDescent="0.25">
      <c r="A10" s="8" t="s">
        <v>20</v>
      </c>
      <c r="B10" s="45">
        <v>-250</v>
      </c>
      <c r="C10" s="45">
        <v>-250</v>
      </c>
      <c r="D10" s="45">
        <v>320</v>
      </c>
      <c r="E10" s="9">
        <f>AVERAGE(B10:C12)</f>
        <v>-228.33333333333334</v>
      </c>
      <c r="F10" s="10">
        <f>SQRT(4*STDEV(B10:C12)^2+MAX(D10:D12)^2)</f>
        <v>416.85329153872186</v>
      </c>
      <c r="G10"/>
      <c r="H10" s="22">
        <v>12</v>
      </c>
      <c r="I10" s="24">
        <f>E10</f>
        <v>-228.33333333333334</v>
      </c>
      <c r="J10" s="19">
        <f>F10</f>
        <v>416.85329153872186</v>
      </c>
      <c r="K10"/>
      <c r="L10" s="23"/>
      <c r="M10" s="28"/>
    </row>
    <row r="11" spans="1:13" x14ac:dyDescent="0.25">
      <c r="A11" s="8"/>
      <c r="B11" s="45">
        <v>-280</v>
      </c>
      <c r="C11" s="45">
        <v>-210</v>
      </c>
      <c r="D11" s="45">
        <v>380</v>
      </c>
      <c r="E11" s="6"/>
      <c r="F11" s="5"/>
      <c r="G11"/>
      <c r="H11" s="22">
        <v>11</v>
      </c>
      <c r="I11" s="24">
        <f>E13</f>
        <v>-436.66666666666669</v>
      </c>
      <c r="J11" s="19">
        <f>F13</f>
        <v>261.7377822681828</v>
      </c>
      <c r="K11"/>
      <c r="L11" s="23"/>
      <c r="M11" s="28"/>
    </row>
    <row r="12" spans="1:13" x14ac:dyDescent="0.25">
      <c r="A12" s="8"/>
      <c r="B12" s="45">
        <v>-180</v>
      </c>
      <c r="C12" s="45">
        <v>-200</v>
      </c>
      <c r="D12" s="45">
        <v>410</v>
      </c>
      <c r="E12" s="6"/>
      <c r="F12" s="5"/>
      <c r="G12"/>
      <c r="H12" s="22">
        <v>10</v>
      </c>
      <c r="I12" s="24">
        <f>E16</f>
        <v>-490</v>
      </c>
      <c r="J12" s="19">
        <f>F16</f>
        <v>141.13823011501881</v>
      </c>
      <c r="K12"/>
      <c r="L12" s="23"/>
      <c r="M12" s="28"/>
    </row>
    <row r="13" spans="1:13" x14ac:dyDescent="0.25">
      <c r="A13" s="8" t="s">
        <v>21</v>
      </c>
      <c r="B13" s="45">
        <v>-430</v>
      </c>
      <c r="C13" s="45">
        <v>-440</v>
      </c>
      <c r="D13" s="45">
        <v>260</v>
      </c>
      <c r="E13" s="9">
        <f>AVERAGE(B13:C15)</f>
        <v>-436.66666666666669</v>
      </c>
      <c r="F13" s="10">
        <f>SQRT(4*STDEV(B13:C15)^2+MAX(D13:D15)^2)</f>
        <v>261.7377822681828</v>
      </c>
      <c r="G13"/>
      <c r="H13" s="22">
        <v>9</v>
      </c>
      <c r="I13" s="24">
        <f>E19</f>
        <v>258.33333333333331</v>
      </c>
      <c r="J13" s="19">
        <f>F19</f>
        <v>74.877678026676719</v>
      </c>
      <c r="K13"/>
      <c r="L13" s="16"/>
      <c r="M13" s="16"/>
    </row>
    <row r="14" spans="1:13" x14ac:dyDescent="0.25">
      <c r="A14" s="8"/>
      <c r="B14" s="45">
        <v>-440</v>
      </c>
      <c r="C14" s="45">
        <v>-450</v>
      </c>
      <c r="D14" s="45">
        <v>160</v>
      </c>
      <c r="E14" s="6"/>
      <c r="F14" s="5"/>
      <c r="G14"/>
      <c r="H14" s="22">
        <v>8</v>
      </c>
      <c r="I14" s="24">
        <f>E22</f>
        <v>198.5</v>
      </c>
      <c r="J14" s="19">
        <f>F22</f>
        <v>54.753995288015282</v>
      </c>
      <c r="K14"/>
      <c r="L14" s="16"/>
      <c r="M14" s="16"/>
    </row>
    <row r="15" spans="1:13" x14ac:dyDescent="0.25">
      <c r="A15" s="30"/>
      <c r="B15" s="45">
        <v>-410</v>
      </c>
      <c r="C15" s="45">
        <v>-450</v>
      </c>
      <c r="D15" s="45">
        <v>150</v>
      </c>
      <c r="E15" s="9"/>
      <c r="F15" s="10"/>
      <c r="G15"/>
      <c r="H15" s="22">
        <v>7</v>
      </c>
      <c r="I15" s="24">
        <f>E25</f>
        <v>-61.5</v>
      </c>
      <c r="J15" s="19">
        <f>F25</f>
        <v>38.351010416936866</v>
      </c>
      <c r="K15"/>
      <c r="L15" s="16"/>
      <c r="M15" s="16"/>
    </row>
    <row r="16" spans="1:13" x14ac:dyDescent="0.25">
      <c r="A16" s="30" t="s">
        <v>18</v>
      </c>
      <c r="B16" s="14">
        <v>-500</v>
      </c>
      <c r="C16" s="14">
        <v>-480</v>
      </c>
      <c r="D16" s="14">
        <v>80</v>
      </c>
      <c r="E16" s="9">
        <f>AVERAGE(B16:C18)</f>
        <v>-490</v>
      </c>
      <c r="F16" s="10">
        <f>SQRT(4*STDEV(B16:C18)^2+MAX(D16:D18)^2)</f>
        <v>141.13823011501881</v>
      </c>
      <c r="G16"/>
      <c r="H16" s="22">
        <v>6</v>
      </c>
      <c r="I16" s="24">
        <f>E28</f>
        <v>-113</v>
      </c>
      <c r="J16" s="19">
        <f>F28</f>
        <v>13.446189051177289</v>
      </c>
      <c r="K16"/>
      <c r="L16" s="16"/>
      <c r="M16" s="16"/>
    </row>
    <row r="17" spans="1:13" x14ac:dyDescent="0.25">
      <c r="A17" s="31"/>
      <c r="B17" s="14">
        <v>-490</v>
      </c>
      <c r="C17" s="14">
        <v>-490</v>
      </c>
      <c r="D17" s="14">
        <v>100</v>
      </c>
      <c r="E17" s="9"/>
      <c r="F17" s="10"/>
      <c r="G17"/>
      <c r="H17" s="22">
        <v>5</v>
      </c>
      <c r="I17" s="24">
        <f>E31</f>
        <v>-40.333333333333336</v>
      </c>
      <c r="J17" s="19">
        <f>F31</f>
        <v>25.99358895317588</v>
      </c>
      <c r="K17"/>
      <c r="L17" s="16"/>
      <c r="M17" s="16"/>
    </row>
    <row r="18" spans="1:13" x14ac:dyDescent="0.25">
      <c r="A18" s="31"/>
      <c r="B18" s="14">
        <v>-500</v>
      </c>
      <c r="C18" s="14">
        <v>-480</v>
      </c>
      <c r="D18" s="14">
        <v>140</v>
      </c>
      <c r="E18" s="10"/>
      <c r="F18" s="10"/>
      <c r="G18"/>
      <c r="H18" s="25">
        <v>4</v>
      </c>
      <c r="I18" s="26">
        <f>E34</f>
        <v>-57.166666666666664</v>
      </c>
      <c r="J18" s="20">
        <f>F34</f>
        <v>10.043239849105799</v>
      </c>
      <c r="K18"/>
      <c r="L18" s="16"/>
      <c r="M18" s="16"/>
    </row>
    <row r="19" spans="1:13" x14ac:dyDescent="0.25">
      <c r="A19" s="34" t="s">
        <v>19</v>
      </c>
      <c r="B19" s="14">
        <v>250</v>
      </c>
      <c r="C19" s="14">
        <v>270</v>
      </c>
      <c r="D19" s="14">
        <v>50</v>
      </c>
      <c r="E19" s="9">
        <f>AVERAGE(B19:C21)</f>
        <v>258.33333333333331</v>
      </c>
      <c r="F19" s="10">
        <f>SQRT(4*STDEV(B19:C21)^2+MAX(D19:D21)^2)</f>
        <v>74.877678026676719</v>
      </c>
      <c r="G19"/>
      <c r="H19" s="1"/>
      <c r="K19"/>
    </row>
    <row r="20" spans="1:13" x14ac:dyDescent="0.25">
      <c r="A20" s="31"/>
      <c r="B20" s="14">
        <v>250</v>
      </c>
      <c r="C20" s="14">
        <v>270</v>
      </c>
      <c r="D20" s="14">
        <v>60</v>
      </c>
      <c r="E20" s="10"/>
      <c r="F20" s="4"/>
      <c r="G20"/>
      <c r="H20" s="1"/>
      <c r="K20"/>
    </row>
    <row r="21" spans="1:13" x14ac:dyDescent="0.25">
      <c r="A21" s="30"/>
      <c r="B21" s="14">
        <v>240</v>
      </c>
      <c r="C21" s="14">
        <v>270</v>
      </c>
      <c r="D21" s="14">
        <v>70</v>
      </c>
      <c r="E21" s="10"/>
      <c r="F21" s="4"/>
      <c r="G21"/>
      <c r="H21" s="1"/>
      <c r="K21"/>
    </row>
    <row r="22" spans="1:13" x14ac:dyDescent="0.25">
      <c r="A22" s="30" t="s">
        <v>17</v>
      </c>
      <c r="B22" s="14">
        <v>183</v>
      </c>
      <c r="C22" s="14">
        <v>201</v>
      </c>
      <c r="D22" s="14">
        <v>36</v>
      </c>
      <c r="E22" s="9">
        <f>AVERAGE(B22:C24)</f>
        <v>198.5</v>
      </c>
      <c r="F22" s="10">
        <f>SQRT(4*STDEV(B22:C24)^2+MAX(D22:D24)^2)</f>
        <v>54.753995288015282</v>
      </c>
      <c r="G22"/>
      <c r="H22" s="1"/>
      <c r="K22"/>
    </row>
    <row r="23" spans="1:13" x14ac:dyDescent="0.25">
      <c r="A23" s="30"/>
      <c r="B23" s="14">
        <v>186</v>
      </c>
      <c r="C23" s="14">
        <v>209</v>
      </c>
      <c r="D23" s="14">
        <v>42</v>
      </c>
      <c r="E23" s="10"/>
      <c r="F23" s="4"/>
      <c r="G23" s="16"/>
      <c r="H23" s="1"/>
      <c r="K23"/>
    </row>
    <row r="24" spans="1:13" x14ac:dyDescent="0.25">
      <c r="A24" s="30"/>
      <c r="B24" s="15">
        <v>195</v>
      </c>
      <c r="C24" s="14">
        <v>217</v>
      </c>
      <c r="D24" s="14">
        <v>48</v>
      </c>
      <c r="E24" s="10"/>
      <c r="F24" s="4"/>
      <c r="G24" s="16"/>
      <c r="H24" s="1"/>
      <c r="K24"/>
    </row>
    <row r="25" spans="1:13" x14ac:dyDescent="0.25">
      <c r="A25" s="30" t="s">
        <v>16</v>
      </c>
      <c r="B25" s="15">
        <v>-67</v>
      </c>
      <c r="C25" s="14">
        <v>-69</v>
      </c>
      <c r="D25" s="14">
        <v>18</v>
      </c>
      <c r="E25" s="9">
        <f>AVERAGE(B25:C27)</f>
        <v>-61.5</v>
      </c>
      <c r="F25" s="10">
        <f>SQRT(4*STDEV(B25:C27)^2+MAX(D25:D27)^2)</f>
        <v>38.351010416936866</v>
      </c>
      <c r="G25" s="16"/>
      <c r="H25" s="1"/>
      <c r="K25"/>
    </row>
    <row r="26" spans="1:13" x14ac:dyDescent="0.25">
      <c r="A26" s="31"/>
      <c r="B26" s="14">
        <v>-63</v>
      </c>
      <c r="C26" s="14">
        <v>-62</v>
      </c>
      <c r="D26" s="14">
        <v>24</v>
      </c>
      <c r="E26" s="10"/>
      <c r="F26" s="4"/>
      <c r="G26" s="16"/>
      <c r="H26" s="17"/>
      <c r="K26"/>
    </row>
    <row r="27" spans="1:13" x14ac:dyDescent="0.25">
      <c r="A27" s="31"/>
      <c r="B27" s="14">
        <v>-70</v>
      </c>
      <c r="C27" s="14">
        <v>-38</v>
      </c>
      <c r="D27" s="14">
        <v>30</v>
      </c>
      <c r="E27" s="10"/>
      <c r="F27" s="4"/>
      <c r="G27"/>
      <c r="H27" s="1"/>
      <c r="K27"/>
    </row>
    <row r="28" spans="1:13" x14ac:dyDescent="0.25">
      <c r="A28" s="30" t="s">
        <v>15</v>
      </c>
      <c r="B28" s="14">
        <v>-115</v>
      </c>
      <c r="C28" s="14">
        <v>-115</v>
      </c>
      <c r="D28" s="14">
        <v>9</v>
      </c>
      <c r="E28" s="9">
        <f>AVERAGE(B28:C30)</f>
        <v>-113</v>
      </c>
      <c r="F28" s="10">
        <f>SQRT(4*STDEV(B28:C30)^2+MAX(D28:D30)^2)</f>
        <v>13.446189051177289</v>
      </c>
      <c r="G28"/>
      <c r="H28" s="1"/>
      <c r="K28"/>
    </row>
    <row r="29" spans="1:13" x14ac:dyDescent="0.25">
      <c r="A29" s="32"/>
      <c r="B29" s="15">
        <v>-111</v>
      </c>
      <c r="C29" s="14">
        <v>-110</v>
      </c>
      <c r="D29" s="14">
        <v>9</v>
      </c>
      <c r="E29" s="4"/>
      <c r="F29" s="4"/>
      <c r="G29"/>
      <c r="H29" s="1"/>
      <c r="K29"/>
    </row>
    <row r="30" spans="1:13" x14ac:dyDescent="0.25">
      <c r="A30" s="32"/>
      <c r="B30" s="14">
        <v>-117</v>
      </c>
      <c r="C30" s="14">
        <v>-110</v>
      </c>
      <c r="D30" s="14">
        <v>12</v>
      </c>
      <c r="E30" s="4"/>
      <c r="F30" s="4"/>
      <c r="G30" s="4"/>
    </row>
    <row r="31" spans="1:13" x14ac:dyDescent="0.25">
      <c r="A31" s="34" t="s">
        <v>14</v>
      </c>
      <c r="B31" s="14">
        <v>-47</v>
      </c>
      <c r="C31" s="14">
        <v>-53</v>
      </c>
      <c r="D31" s="14">
        <v>6</v>
      </c>
      <c r="E31" s="9">
        <f>AVERAGE(B31:C33)</f>
        <v>-40.333333333333336</v>
      </c>
      <c r="F31" s="10">
        <f>SQRT(4*STDEV(B31:C33)^2+MAX(D31:D33)^2)</f>
        <v>25.99358895317588</v>
      </c>
      <c r="G31" s="4"/>
    </row>
    <row r="32" spans="1:13" x14ac:dyDescent="0.25">
      <c r="A32" s="32"/>
      <c r="B32" s="14">
        <v>-29</v>
      </c>
      <c r="C32" s="14">
        <v>-37</v>
      </c>
      <c r="D32" s="14">
        <v>12</v>
      </c>
      <c r="E32" s="4"/>
      <c r="F32" s="4"/>
    </row>
    <row r="33" spans="1:6" x14ac:dyDescent="0.25">
      <c r="A33" s="32"/>
      <c r="B33" s="14">
        <v>-30</v>
      </c>
      <c r="C33" s="14">
        <v>-46</v>
      </c>
      <c r="D33" s="14">
        <v>17</v>
      </c>
      <c r="E33" s="4"/>
      <c r="F33" s="4"/>
    </row>
    <row r="34" spans="1:6" x14ac:dyDescent="0.25">
      <c r="A34" s="30" t="s">
        <v>13</v>
      </c>
      <c r="B34" s="14">
        <v>-61</v>
      </c>
      <c r="C34" s="14">
        <v>-62</v>
      </c>
      <c r="D34" s="14">
        <v>4</v>
      </c>
      <c r="E34" s="9">
        <f>AVERAGE(B34:C36)</f>
        <v>-57.166666666666664</v>
      </c>
      <c r="F34" s="10">
        <f>SQRT(4*STDEV(B34:C36)^2+MAX(D34:D36)^2)</f>
        <v>10.043239849105799</v>
      </c>
    </row>
    <row r="35" spans="1:6" x14ac:dyDescent="0.25">
      <c r="A35" s="33"/>
      <c r="B35" s="14">
        <v>-52</v>
      </c>
      <c r="C35" s="14">
        <v>-52</v>
      </c>
      <c r="D35" s="14">
        <v>4</v>
      </c>
    </row>
    <row r="36" spans="1:6" x14ac:dyDescent="0.25">
      <c r="A36" s="33"/>
      <c r="B36" s="14">
        <v>-59</v>
      </c>
      <c r="C36" s="14">
        <v>-57</v>
      </c>
      <c r="D36" s="14">
        <v>5</v>
      </c>
    </row>
    <row r="37" spans="1:6" x14ac:dyDescent="0.25">
      <c r="B37" s="1"/>
    </row>
  </sheetData>
  <mergeCells count="3">
    <mergeCell ref="E8:F8"/>
    <mergeCell ref="I8:J8"/>
    <mergeCell ref="L8:M8"/>
  </mergeCells>
  <pageMargins left="0.59055118110236227" right="0.59055118110236227" top="0.78740157480314965" bottom="0.78740157480314965" header="0.31496062992125984" footer="0.31496062992125984"/>
  <pageSetup paperSize="9" orientation="landscape" r:id="rId1"/>
  <headerFooter>
    <oddFooter>&amp;R13.11.2008/Sare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METAS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Schafer Reto</dc:creator>
  <cp:lastModifiedBy>Schafer Reto METAS</cp:lastModifiedBy>
  <cp:lastPrinted>2010-02-04T06:49:32Z</cp:lastPrinted>
  <dcterms:created xsi:type="dcterms:W3CDTF">2008-11-07T16:18:51Z</dcterms:created>
  <dcterms:modified xsi:type="dcterms:W3CDTF">2025-02-03T12:39:27Z</dcterms:modified>
</cp:coreProperties>
</file>